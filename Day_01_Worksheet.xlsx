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VANI\practice\"/>
    </mc:Choice>
  </mc:AlternateContent>
  <xr:revisionPtr revIDLastSave="0" documentId="8_{33EB96E0-EA11-4448-ACDB-BFCE1FC9559A}" xr6:coauthVersionLast="47" xr6:coauthVersionMax="47" xr10:uidLastSave="{00000000-0000-0000-0000-000000000000}"/>
  <bookViews>
    <workbookView xWindow="-110" yWindow="-110" windowWidth="19420" windowHeight="10300" firstSheet="2" activeTab="4" xr2:uid="{522EC500-6F65-4B84-BC81-4D7676217CDA}"/>
  </bookViews>
  <sheets>
    <sheet name="Raw Data Set" sheetId="1" r:id="rId1"/>
    <sheet name="Reference Discount Matrix" sheetId="2" r:id="rId2"/>
    <sheet name="Messy Sales Logs" sheetId="3" r:id="rId3"/>
    <sheet name="Master Tier Reference" sheetId="4" r:id="rId4"/>
    <sheet name="Daily Revenue Stream" sheetId="5" r:id="rId5"/>
  </sheets>
  <definedNames>
    <definedName name="_xlnm._FilterDatabase" localSheetId="4" hidden="1">'Daily Revenue Stream'!$A$1:$H$1</definedName>
    <definedName name="_xlnm._FilterDatabase" localSheetId="0" hidden="1">'Raw Data Set'!$A$1:$J$11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5" l="1"/>
  <c r="C22" i="5"/>
  <c r="D19" i="5"/>
  <c r="D18" i="5"/>
  <c r="C19" i="5"/>
  <c r="C18" i="5"/>
  <c r="D13" i="5"/>
  <c r="C13" i="5"/>
  <c r="D12" i="5"/>
  <c r="C12" i="5"/>
  <c r="E13" i="5"/>
  <c r="E12" i="5"/>
  <c r="I3" i="1"/>
  <c r="I4" i="1"/>
  <c r="I5" i="1"/>
  <c r="I6" i="1"/>
  <c r="I7" i="1"/>
  <c r="I8" i="1"/>
  <c r="I9" i="1"/>
  <c r="J9" i="1" s="1"/>
  <c r="I10" i="1"/>
  <c r="J10" i="1" s="1"/>
  <c r="I11" i="1"/>
  <c r="J11" i="1" s="1"/>
  <c r="I2" i="1"/>
  <c r="J6" i="1"/>
  <c r="H3" i="1"/>
  <c r="H4" i="1"/>
  <c r="H5" i="1"/>
  <c r="H6" i="1"/>
  <c r="H7" i="1"/>
  <c r="H8" i="1"/>
  <c r="H9" i="1"/>
  <c r="H10" i="1"/>
  <c r="H11" i="1"/>
  <c r="H2" i="1"/>
  <c r="E3" i="3"/>
  <c r="E4" i="3"/>
  <c r="E5" i="3"/>
  <c r="E6" i="3"/>
  <c r="E2" i="3"/>
  <c r="F3" i="3"/>
  <c r="F4" i="3"/>
  <c r="F5" i="3"/>
  <c r="F6" i="3"/>
  <c r="F2" i="3"/>
  <c r="D17" i="1"/>
  <c r="K3" i="1"/>
  <c r="K4" i="1"/>
  <c r="K5" i="1"/>
  <c r="K6" i="1"/>
  <c r="K7" i="1"/>
  <c r="K8" i="1"/>
  <c r="K9" i="1"/>
  <c r="K10" i="1"/>
  <c r="K11" i="1"/>
  <c r="K2" i="1"/>
  <c r="J8" i="1"/>
  <c r="J5" i="1"/>
  <c r="J3" i="1" l="1"/>
  <c r="J4" i="1"/>
  <c r="J7" i="1"/>
  <c r="J2" i="1"/>
</calcChain>
</file>

<file path=xl/sharedStrings.xml><?xml version="1.0" encoding="utf-8"?>
<sst xmlns="http://schemas.openxmlformats.org/spreadsheetml/2006/main" count="126" uniqueCount="90">
  <si>
    <t>Transaction_ID</t>
  </si>
  <si>
    <t>Customer_Type</t>
  </si>
  <si>
    <t>Region</t>
  </si>
  <si>
    <t>Sales_Amount</t>
  </si>
  <si>
    <t>Units_Sold</t>
  </si>
  <si>
    <t>Discount_Code</t>
  </si>
  <si>
    <t>Account_Age_Days</t>
  </si>
  <si>
    <t>TXN-101</t>
  </si>
  <si>
    <t>Enterprise</t>
  </si>
  <si>
    <t>North</t>
  </si>
  <si>
    <t>SAVE10</t>
  </si>
  <si>
    <t>TXN-102</t>
  </si>
  <si>
    <t>Retail</t>
  </si>
  <si>
    <t>South</t>
  </si>
  <si>
    <t>NONE</t>
  </si>
  <si>
    <t>TXN-103</t>
  </si>
  <si>
    <t>SMB</t>
  </si>
  <si>
    <t>East</t>
  </si>
  <si>
    <t>SAVE15</t>
  </si>
  <si>
    <t>TXN-104</t>
  </si>
  <si>
    <t>West</t>
  </si>
  <si>
    <t>VIP20</t>
  </si>
  <si>
    <t>TXN-105</t>
  </si>
  <si>
    <t>TXN-106</t>
  </si>
  <si>
    <t>TXN-107</t>
  </si>
  <si>
    <t>TXN-108</t>
  </si>
  <si>
    <t>TXN-109</t>
  </si>
  <si>
    <t>TXN-110</t>
  </si>
  <si>
    <t>Discount_Pct</t>
  </si>
  <si>
    <t>Min_Units_Required</t>
  </si>
  <si>
    <t>Applied_Discount_Pct</t>
  </si>
  <si>
    <t>Eligible_For_Bonus_Discount</t>
  </si>
  <si>
    <t>Final_Net_Sales</t>
  </si>
  <si>
    <t>Account_Tier</t>
  </si>
  <si>
    <t>Customer_Code</t>
  </si>
  <si>
    <t>Region_Raw</t>
  </si>
  <si>
    <t>Gross_Amount</t>
  </si>
  <si>
    <t>TXN-201</t>
  </si>
  <si>
    <t xml:space="preserve"> CUST-881 </t>
  </si>
  <si>
    <t xml:space="preserve"> NORTH-US </t>
  </si>
  <si>
    <t>TXN-202</t>
  </si>
  <si>
    <t>CUST-412</t>
  </si>
  <si>
    <t>South-US</t>
  </si>
  <si>
    <t>TXN-203</t>
  </si>
  <si>
    <t xml:space="preserve"> CUST-905 </t>
  </si>
  <si>
    <t>EAST-US</t>
  </si>
  <si>
    <t>TXN-204</t>
  </si>
  <si>
    <t>CUST-881</t>
  </si>
  <si>
    <t>West-US</t>
  </si>
  <si>
    <t>TXN-205</t>
  </si>
  <si>
    <t>CUST-104</t>
  </si>
  <si>
    <t>NORTH-US</t>
  </si>
  <si>
    <t>Client_ID</t>
  </si>
  <si>
    <t>Client_Name</t>
  </si>
  <si>
    <t>Tier_Level</t>
  </si>
  <si>
    <t>Account_Manager</t>
  </si>
  <si>
    <t>Acme Corp</t>
  </si>
  <si>
    <t>Bronze</t>
  </si>
  <si>
    <t>Sarah Jenkins</t>
  </si>
  <si>
    <t>Beta Logistics</t>
  </si>
  <si>
    <t>Silver</t>
  </si>
  <si>
    <t>Mark Thorne</t>
  </si>
  <si>
    <t>Apex Tech</t>
  </si>
  <si>
    <t>Gold</t>
  </si>
  <si>
    <t>Rachel Adams</t>
  </si>
  <si>
    <t>CUST-905</t>
  </si>
  <si>
    <t>Global Dynamics</t>
  </si>
  <si>
    <t>Platinum</t>
  </si>
  <si>
    <t>David Miller</t>
  </si>
  <si>
    <t>Day</t>
  </si>
  <si>
    <t>Store_A_Revenue</t>
  </si>
  <si>
    <t>Store_B_Revenue</t>
  </si>
  <si>
    <t>Day 1</t>
  </si>
  <si>
    <t>Day 2</t>
  </si>
  <si>
    <t>Day 3</t>
  </si>
  <si>
    <t>Day 4</t>
  </si>
  <si>
    <t>Day 5</t>
  </si>
  <si>
    <t>Day 6</t>
  </si>
  <si>
    <t>Day 7</t>
  </si>
  <si>
    <t>MEAN</t>
  </si>
  <si>
    <t>MEDIAN</t>
  </si>
  <si>
    <t>SKEW</t>
  </si>
  <si>
    <t>Challenge Task 3: Central Tendency &amp; Outlier Sensitivity</t>
  </si>
  <si>
    <t>Challenge Task 4: Variance &amp; Risk Assessment</t>
  </si>
  <si>
    <t>Sample Variance</t>
  </si>
  <si>
    <t>Sample Standard Deviation</t>
  </si>
  <si>
    <t>Coefficient of Variation (CV)</t>
  </si>
  <si>
    <r>
      <t>Insight:</t>
    </r>
    <r>
      <rPr>
        <sz val="11"/>
        <color theme="1"/>
        <rFont val="Calibri"/>
        <family val="2"/>
        <scheme val="minor"/>
      </rPr>
      <t xml:space="preserve"> Store A displays massive operational volatility compared to Store B's consistent revenue stream.</t>
    </r>
  </si>
  <si>
    <t>Insight: Store A is having the skewness because of DAY 5 revenue is an outlier. It pulls the mean upward and making the median a better measure of normal daily performance.</t>
  </si>
  <si>
    <r>
      <t>Insight:</t>
    </r>
    <r>
      <rPr>
        <sz val="11"/>
        <color theme="1"/>
        <rFont val="Calibri"/>
        <family val="2"/>
        <scheme val="minor"/>
      </rPr>
      <t xml:space="preserve"> Positive skewness indicates that most daily revenue clusters around lower values with occasional high spikes.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</si>
</sst>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E163-DD7C-41A4-9BDE-4A136EA54584}">
  <dimension ref="A1:K17"/>
  <sheetViews>
    <sheetView topLeftCell="D1" workbookViewId="0">
      <selection activeCell="K15" sqref="K15"/>
    </sheetView>
  </sheetViews>
  <sheetFormatPr defaultColWidth="17.26953125" defaultRowHeight="14.5" x14ac:dyDescent="0.35"/>
  <cols>
    <col min="8" max="8" width="20.453125" customWidth="1"/>
    <col min="9" max="9" width="25.0898437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1" x14ac:dyDescent="0.35">
      <c r="A2" t="s">
        <v>7</v>
      </c>
      <c r="B2" t="s">
        <v>8</v>
      </c>
      <c r="C2" t="s">
        <v>9</v>
      </c>
      <c r="D2">
        <v>12500</v>
      </c>
      <c r="E2">
        <v>15</v>
      </c>
      <c r="F2" t="s">
        <v>10</v>
      </c>
      <c r="G2">
        <v>420</v>
      </c>
      <c r="H2" s="3">
        <f>INDEX('Reference Discount Matrix'!$B$2:$B$5,MATCH('Raw Data Set'!$F$2:$F$11,'Reference Discount Matrix'!$A$2:$A$5,0))</f>
        <v>0.1</v>
      </c>
      <c r="I2" s="3" t="str">
        <f>IF(OR(AND(B2="Enterprise",G2&gt;365),AND(D2&gt;10000,E2&gt;=15)),"YES","NO")</f>
        <v>YES</v>
      </c>
      <c r="J2" s="3">
        <f>IF(I2="YES",D2*(1-H2-0.05),D2*(1-H2))</f>
        <v>10625</v>
      </c>
      <c r="K2" s="3" t="str">
        <f>IF(G2&lt;90,"New Account",IF(G2&lt;=365,"Established",IF(G2&lt;=720,"Mature","Legacy_VIP")))</f>
        <v>Mature</v>
      </c>
    </row>
    <row r="3" spans="1:11" x14ac:dyDescent="0.35">
      <c r="A3" t="s">
        <v>11</v>
      </c>
      <c r="B3" t="s">
        <v>12</v>
      </c>
      <c r="C3" t="s">
        <v>13</v>
      </c>
      <c r="D3">
        <v>450</v>
      </c>
      <c r="E3">
        <v>2</v>
      </c>
      <c r="F3" t="s">
        <v>14</v>
      </c>
      <c r="G3">
        <v>45</v>
      </c>
      <c r="H3" s="3">
        <f>INDEX('Reference Discount Matrix'!$B$2:$B$5,MATCH('Raw Data Set'!$F$2:$F$11,'Reference Discount Matrix'!$A$2:$A$5,0))</f>
        <v>0</v>
      </c>
      <c r="I3" s="3" t="str">
        <f t="shared" ref="I3:I11" si="0">IF(OR(AND(B3="Enterprise",G3&gt;365),AND(D3&gt;10000,E3&gt;=15)),"YES","NO")</f>
        <v>NO</v>
      </c>
      <c r="J3" s="3">
        <f>IF(I3="YES",D3*(1-H3-0.05),D3*(1-H3))</f>
        <v>450</v>
      </c>
      <c r="K3" s="3" t="str">
        <f t="shared" ref="K3:K11" si="1">IF(G3&lt;90,"New Account",IF(G3&lt;=365,"Established",IF(G3&lt;=720,"Mature","Legacy_VIP")))</f>
        <v>New Account</v>
      </c>
    </row>
    <row r="4" spans="1:11" x14ac:dyDescent="0.35">
      <c r="A4" t="s">
        <v>15</v>
      </c>
      <c r="B4" t="s">
        <v>16</v>
      </c>
      <c r="C4" t="s">
        <v>17</v>
      </c>
      <c r="D4">
        <v>3200</v>
      </c>
      <c r="E4">
        <v>8</v>
      </c>
      <c r="F4" t="s">
        <v>18</v>
      </c>
      <c r="G4">
        <v>180</v>
      </c>
      <c r="H4" s="3">
        <f>INDEX('Reference Discount Matrix'!$B$2:$B$5,MATCH('Raw Data Set'!$F$2:$F$11,'Reference Discount Matrix'!$A$2:$A$5,0))</f>
        <v>0.15</v>
      </c>
      <c r="I4" s="3" t="str">
        <f t="shared" si="0"/>
        <v>NO</v>
      </c>
      <c r="J4" s="3">
        <f>IF(I4="YES",D4*(1-H4-0.05),D4*(1-H4))</f>
        <v>2720</v>
      </c>
      <c r="K4" s="3" t="str">
        <f t="shared" si="1"/>
        <v>Established</v>
      </c>
    </row>
    <row r="5" spans="1:11" x14ac:dyDescent="0.35">
      <c r="A5" t="s">
        <v>19</v>
      </c>
      <c r="B5" t="s">
        <v>8</v>
      </c>
      <c r="C5" t="s">
        <v>20</v>
      </c>
      <c r="D5">
        <v>28000</v>
      </c>
      <c r="E5">
        <v>35</v>
      </c>
      <c r="F5" t="s">
        <v>21</v>
      </c>
      <c r="G5">
        <v>730</v>
      </c>
      <c r="H5" s="3">
        <f>INDEX('Reference Discount Matrix'!$B$2:$B$5,MATCH('Raw Data Set'!$F$2:$F$11,'Reference Discount Matrix'!$A$2:$A$5,0))</f>
        <v>0.2</v>
      </c>
      <c r="I5" s="3" t="str">
        <f t="shared" si="0"/>
        <v>YES</v>
      </c>
      <c r="J5" s="3">
        <f>IF(I5="YES",D5*(1-H5-0.05),D5*(1-H5))</f>
        <v>21000</v>
      </c>
      <c r="K5" s="3" t="str">
        <f t="shared" si="1"/>
        <v>Legacy_VIP</v>
      </c>
    </row>
    <row r="6" spans="1:11" x14ac:dyDescent="0.35">
      <c r="A6" t="s">
        <v>22</v>
      </c>
      <c r="B6" t="s">
        <v>12</v>
      </c>
      <c r="C6" t="s">
        <v>9</v>
      </c>
      <c r="D6">
        <v>850</v>
      </c>
      <c r="E6">
        <v>4</v>
      </c>
      <c r="F6" t="s">
        <v>10</v>
      </c>
      <c r="G6">
        <v>90</v>
      </c>
      <c r="H6" s="3">
        <f>INDEX('Reference Discount Matrix'!$B$2:$B$5,MATCH('Raw Data Set'!$F$2:$F$11,'Reference Discount Matrix'!$A$2:$A$5,0))</f>
        <v>0.1</v>
      </c>
      <c r="I6" s="3" t="str">
        <f t="shared" si="0"/>
        <v>NO</v>
      </c>
      <c r="J6" s="3">
        <f t="shared" ref="J6:J11" si="2">IF(I6="YES",D6*(1-H6-0.05),D6*(1-H6))</f>
        <v>765</v>
      </c>
      <c r="K6" s="3" t="str">
        <f t="shared" si="1"/>
        <v>Established</v>
      </c>
    </row>
    <row r="7" spans="1:11" x14ac:dyDescent="0.35">
      <c r="A7" t="s">
        <v>23</v>
      </c>
      <c r="B7" t="s">
        <v>16</v>
      </c>
      <c r="C7" t="s">
        <v>13</v>
      </c>
      <c r="D7">
        <v>5100</v>
      </c>
      <c r="E7">
        <v>12</v>
      </c>
      <c r="F7" t="s">
        <v>14</v>
      </c>
      <c r="G7">
        <v>310</v>
      </c>
      <c r="H7" s="3">
        <f>INDEX('Reference Discount Matrix'!$B$2:$B$5,MATCH('Raw Data Set'!$F$2:$F$11,'Reference Discount Matrix'!$A$2:$A$5,0))</f>
        <v>0</v>
      </c>
      <c r="I7" s="3" t="str">
        <f t="shared" si="0"/>
        <v>NO</v>
      </c>
      <c r="J7" s="3">
        <f t="shared" si="2"/>
        <v>5100</v>
      </c>
      <c r="K7" s="3" t="str">
        <f t="shared" si="1"/>
        <v>Established</v>
      </c>
    </row>
    <row r="8" spans="1:11" x14ac:dyDescent="0.35">
      <c r="A8" t="s">
        <v>24</v>
      </c>
      <c r="B8" t="s">
        <v>8</v>
      </c>
      <c r="C8" t="s">
        <v>17</v>
      </c>
      <c r="D8">
        <v>9400</v>
      </c>
      <c r="E8">
        <v>10</v>
      </c>
      <c r="F8" t="s">
        <v>18</v>
      </c>
      <c r="G8">
        <v>150</v>
      </c>
      <c r="H8" s="3">
        <f>INDEX('Reference Discount Matrix'!$B$2:$B$5,MATCH('Raw Data Set'!$F$2:$F$11,'Reference Discount Matrix'!$A$2:$A$5,0))</f>
        <v>0.15</v>
      </c>
      <c r="I8" s="3" t="str">
        <f t="shared" si="0"/>
        <v>NO</v>
      </c>
      <c r="J8" s="3">
        <f t="shared" si="2"/>
        <v>7990</v>
      </c>
      <c r="K8" s="3" t="str">
        <f t="shared" si="1"/>
        <v>Established</v>
      </c>
    </row>
    <row r="9" spans="1:11" x14ac:dyDescent="0.35">
      <c r="A9" t="s">
        <v>25</v>
      </c>
      <c r="B9" t="s">
        <v>12</v>
      </c>
      <c r="C9" t="s">
        <v>20</v>
      </c>
      <c r="D9">
        <v>120</v>
      </c>
      <c r="E9">
        <v>1</v>
      </c>
      <c r="F9" t="s">
        <v>14</v>
      </c>
      <c r="G9">
        <v>15</v>
      </c>
      <c r="H9" s="3">
        <f>INDEX('Reference Discount Matrix'!$B$2:$B$5,MATCH('Raw Data Set'!$F$2:$F$11,'Reference Discount Matrix'!$A$2:$A$5,0))</f>
        <v>0</v>
      </c>
      <c r="I9" s="3" t="str">
        <f t="shared" si="0"/>
        <v>NO</v>
      </c>
      <c r="J9" s="3">
        <f t="shared" si="2"/>
        <v>120</v>
      </c>
      <c r="K9" s="3" t="str">
        <f t="shared" si="1"/>
        <v>New Account</v>
      </c>
    </row>
    <row r="10" spans="1:11" x14ac:dyDescent="0.35">
      <c r="A10" t="s">
        <v>26</v>
      </c>
      <c r="B10" t="s">
        <v>16</v>
      </c>
      <c r="C10" t="s">
        <v>9</v>
      </c>
      <c r="D10">
        <v>7800</v>
      </c>
      <c r="E10">
        <v>18</v>
      </c>
      <c r="F10" t="s">
        <v>21</v>
      </c>
      <c r="G10">
        <v>540</v>
      </c>
      <c r="H10" s="3">
        <f>INDEX('Reference Discount Matrix'!$B$2:$B$5,MATCH('Raw Data Set'!$F$2:$F$11,'Reference Discount Matrix'!$A$2:$A$5,0))</f>
        <v>0.2</v>
      </c>
      <c r="I10" s="3" t="str">
        <f t="shared" si="0"/>
        <v>NO</v>
      </c>
      <c r="J10" s="3">
        <f t="shared" si="2"/>
        <v>6240</v>
      </c>
      <c r="K10" s="3" t="str">
        <f t="shared" si="1"/>
        <v>Mature</v>
      </c>
    </row>
    <row r="11" spans="1:11" x14ac:dyDescent="0.35">
      <c r="A11" t="s">
        <v>27</v>
      </c>
      <c r="B11" t="s">
        <v>8</v>
      </c>
      <c r="C11" t="s">
        <v>13</v>
      </c>
      <c r="D11">
        <v>16200</v>
      </c>
      <c r="E11">
        <v>20</v>
      </c>
      <c r="F11" t="s">
        <v>10</v>
      </c>
      <c r="G11">
        <v>600</v>
      </c>
      <c r="H11" s="3">
        <f>INDEX('Reference Discount Matrix'!$B$2:$B$5,MATCH('Raw Data Set'!$F$2:$F$11,'Reference Discount Matrix'!$A$2:$A$5,0))</f>
        <v>0.1</v>
      </c>
      <c r="I11" s="3" t="str">
        <f t="shared" si="0"/>
        <v>YES</v>
      </c>
      <c r="J11" s="3">
        <f t="shared" si="2"/>
        <v>13770</v>
      </c>
      <c r="K11" s="3" t="str">
        <f t="shared" si="1"/>
        <v>Mature</v>
      </c>
    </row>
    <row r="17" spans="4:4" x14ac:dyDescent="0.35">
      <c r="D17" t="str">
        <f>VLOOKUP("TXN-109",A2:K11,11,FALSE)</f>
        <v>Mature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59E9-D6A1-468D-8F3C-C1E0E058376B}">
  <dimension ref="A1:C5"/>
  <sheetViews>
    <sheetView workbookViewId="0">
      <selection activeCell="D20" sqref="D20"/>
    </sheetView>
  </sheetViews>
  <sheetFormatPr defaultColWidth="15.7265625" defaultRowHeight="14.5" x14ac:dyDescent="0.35"/>
  <cols>
    <col min="3" max="3" width="21.08984375" customWidth="1"/>
    <col min="4" max="4" width="19.453125" customWidth="1"/>
  </cols>
  <sheetData>
    <row r="1" spans="1:3" s="1" customFormat="1" x14ac:dyDescent="0.35">
      <c r="A1" s="1" t="s">
        <v>5</v>
      </c>
      <c r="B1" s="1" t="s">
        <v>28</v>
      </c>
      <c r="C1" s="1" t="s">
        <v>29</v>
      </c>
    </row>
    <row r="2" spans="1:3" x14ac:dyDescent="0.35">
      <c r="A2" t="s">
        <v>14</v>
      </c>
      <c r="B2">
        <v>0</v>
      </c>
      <c r="C2">
        <v>0</v>
      </c>
    </row>
    <row r="3" spans="1:3" x14ac:dyDescent="0.35">
      <c r="A3" t="s">
        <v>10</v>
      </c>
      <c r="B3">
        <v>0.1</v>
      </c>
      <c r="C3">
        <v>3</v>
      </c>
    </row>
    <row r="4" spans="1:3" x14ac:dyDescent="0.35">
      <c r="A4" t="s">
        <v>18</v>
      </c>
      <c r="B4">
        <v>0.15</v>
      </c>
      <c r="C4">
        <v>5</v>
      </c>
    </row>
    <row r="5" spans="1:3" x14ac:dyDescent="0.35">
      <c r="A5" t="s">
        <v>21</v>
      </c>
      <c r="B5">
        <v>0.2</v>
      </c>
      <c r="C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845F-08EF-4519-AF75-BF820777865E}">
  <dimension ref="A1:G6"/>
  <sheetViews>
    <sheetView workbookViewId="0">
      <selection activeCell="E6" sqref="E6"/>
    </sheetView>
  </sheetViews>
  <sheetFormatPr defaultColWidth="14" defaultRowHeight="14.5" x14ac:dyDescent="0.35"/>
  <cols>
    <col min="5" max="5" width="15.81640625" customWidth="1"/>
  </cols>
  <sheetData>
    <row r="1" spans="1:7" s="1" customFormat="1" x14ac:dyDescent="0.35">
      <c r="A1" s="1" t="s">
        <v>0</v>
      </c>
      <c r="B1" s="1" t="s">
        <v>34</v>
      </c>
      <c r="C1" s="1" t="s">
        <v>35</v>
      </c>
      <c r="D1" s="1" t="s">
        <v>36</v>
      </c>
      <c r="E1" s="2" t="s">
        <v>55</v>
      </c>
      <c r="F1" s="2" t="s">
        <v>53</v>
      </c>
      <c r="G1" s="2"/>
    </row>
    <row r="2" spans="1:7" x14ac:dyDescent="0.35">
      <c r="A2" t="s">
        <v>37</v>
      </c>
      <c r="B2" t="s">
        <v>38</v>
      </c>
      <c r="C2" t="s">
        <v>39</v>
      </c>
      <c r="D2">
        <v>15000</v>
      </c>
      <c r="E2" s="3" t="str">
        <f>INDEX('Master Tier Reference'!D$2:D$5,MATCH(TRIM('Messy Sales Logs'!B$2:B$6),'Master Tier Reference'!A$2:A$5,0))</f>
        <v>Rachel Adams</v>
      </c>
      <c r="F2" s="3" t="str">
        <f>INDEX('Master Tier Reference'!$B$2:$B$5,MATCH(TRIM('Messy Sales Logs'!$B$2:$B$6),'Master Tier Reference'!$A$2:$A$5,0))</f>
        <v>Apex Tech</v>
      </c>
      <c r="G2" s="3"/>
    </row>
    <row r="3" spans="1:7" x14ac:dyDescent="0.35">
      <c r="A3" t="s">
        <v>40</v>
      </c>
      <c r="B3" t="s">
        <v>41</v>
      </c>
      <c r="C3" t="s">
        <v>42</v>
      </c>
      <c r="D3">
        <v>2300</v>
      </c>
      <c r="E3" s="3" t="str">
        <f>INDEX('Master Tier Reference'!D$2:D$5,MATCH(TRIM('Messy Sales Logs'!B$2:B$6),'Master Tier Reference'!A$2:A$5,0))</f>
        <v>Mark Thorne</v>
      </c>
      <c r="F3" s="3" t="str">
        <f>INDEX('Master Tier Reference'!$B$2:$B$5,MATCH(TRIM('Messy Sales Logs'!$B$2:$B$6),'Master Tier Reference'!$A$2:$A$5,0))</f>
        <v>Beta Logistics</v>
      </c>
      <c r="G3" s="3"/>
    </row>
    <row r="4" spans="1:7" x14ac:dyDescent="0.35">
      <c r="A4" t="s">
        <v>43</v>
      </c>
      <c r="B4" t="s">
        <v>44</v>
      </c>
      <c r="C4" t="s">
        <v>45</v>
      </c>
      <c r="D4">
        <v>8400</v>
      </c>
      <c r="E4" s="3" t="str">
        <f>INDEX('Master Tier Reference'!D$2:D$5,MATCH(TRIM('Messy Sales Logs'!B$2:B$6),'Master Tier Reference'!A$2:A$5,0))</f>
        <v>David Miller</v>
      </c>
      <c r="F4" s="3" t="str">
        <f>INDEX('Master Tier Reference'!$B$2:$B$5,MATCH(TRIM('Messy Sales Logs'!$B$2:$B$6),'Master Tier Reference'!$A$2:$A$5,0))</f>
        <v>Global Dynamics</v>
      </c>
      <c r="G4" s="3"/>
    </row>
    <row r="5" spans="1:7" x14ac:dyDescent="0.35">
      <c r="A5" t="s">
        <v>46</v>
      </c>
      <c r="B5" t="s">
        <v>47</v>
      </c>
      <c r="C5" t="s">
        <v>48</v>
      </c>
      <c r="D5">
        <v>31000</v>
      </c>
      <c r="E5" s="3" t="str">
        <f>INDEX('Master Tier Reference'!D$2:D$5,MATCH(TRIM('Messy Sales Logs'!B$2:B$6),'Master Tier Reference'!A$2:A$5,0))</f>
        <v>Rachel Adams</v>
      </c>
      <c r="F5" s="3" t="str">
        <f>INDEX('Master Tier Reference'!$B$2:$B$5,MATCH(TRIM('Messy Sales Logs'!$B$2:$B$6),'Master Tier Reference'!$A$2:$A$5,0))</f>
        <v>Apex Tech</v>
      </c>
      <c r="G5" s="3"/>
    </row>
    <row r="6" spans="1:7" x14ac:dyDescent="0.35">
      <c r="A6" t="s">
        <v>49</v>
      </c>
      <c r="B6" t="s">
        <v>50</v>
      </c>
      <c r="C6" t="s">
        <v>51</v>
      </c>
      <c r="D6">
        <v>420</v>
      </c>
      <c r="E6" s="3" t="str">
        <f>INDEX('Master Tier Reference'!D$2:D$5,MATCH(TRIM('Messy Sales Logs'!B$2:B$6),'Master Tier Reference'!A$2:A$5,0))</f>
        <v>Sarah Jenkins</v>
      </c>
      <c r="F6" s="3" t="str">
        <f>INDEX('Master Tier Reference'!$B$2:$B$5,MATCH(TRIM('Messy Sales Logs'!$B$2:$B$6),'Master Tier Reference'!$A$2:$A$5,0))</f>
        <v>Acme Corp</v>
      </c>
      <c r="G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F3F4-C91B-4898-AE82-8CCFB33068CA}">
  <dimension ref="A1:D5"/>
  <sheetViews>
    <sheetView workbookViewId="0">
      <selection activeCell="C8" sqref="C8"/>
    </sheetView>
  </sheetViews>
  <sheetFormatPr defaultColWidth="15.6328125" defaultRowHeight="14.5" x14ac:dyDescent="0.35"/>
  <sheetData>
    <row r="1" spans="1:4" s="1" customFormat="1" x14ac:dyDescent="0.3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35">
      <c r="A2" t="s">
        <v>50</v>
      </c>
      <c r="B2" t="s">
        <v>56</v>
      </c>
      <c r="C2" t="s">
        <v>57</v>
      </c>
      <c r="D2" t="s">
        <v>58</v>
      </c>
    </row>
    <row r="3" spans="1:4" x14ac:dyDescent="0.35">
      <c r="A3" t="s">
        <v>41</v>
      </c>
      <c r="B3" t="s">
        <v>59</v>
      </c>
      <c r="C3" t="s">
        <v>60</v>
      </c>
      <c r="D3" t="s">
        <v>61</v>
      </c>
    </row>
    <row r="4" spans="1:4" x14ac:dyDescent="0.35">
      <c r="A4" t="s">
        <v>47</v>
      </c>
      <c r="B4" t="s">
        <v>62</v>
      </c>
      <c r="C4" t="s">
        <v>63</v>
      </c>
      <c r="D4" t="s">
        <v>64</v>
      </c>
    </row>
    <row r="5" spans="1:4" x14ac:dyDescent="0.35">
      <c r="A5" t="s">
        <v>65</v>
      </c>
      <c r="B5" t="s">
        <v>66</v>
      </c>
      <c r="C5" t="s">
        <v>67</v>
      </c>
      <c r="D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885D-FE79-4797-BF63-EB47F54C3A58}">
  <dimension ref="A1:G25"/>
  <sheetViews>
    <sheetView tabSelected="1" topLeftCell="B10" workbookViewId="0">
      <selection activeCell="F19" sqref="F19"/>
    </sheetView>
  </sheetViews>
  <sheetFormatPr defaultColWidth="8.81640625" defaultRowHeight="14.5" x14ac:dyDescent="0.35"/>
  <cols>
    <col min="1" max="1" width="7.1796875" bestFit="1" customWidth="1"/>
    <col min="2" max="2" width="15.6328125" bestFit="1" customWidth="1"/>
    <col min="3" max="3" width="15.54296875" bestFit="1" customWidth="1"/>
    <col min="4" max="4" width="21.453125" customWidth="1"/>
    <col min="5" max="5" width="17.6328125" customWidth="1"/>
    <col min="6" max="6" width="51.7265625" customWidth="1"/>
    <col min="7" max="7" width="15.7265625" customWidth="1"/>
    <col min="8" max="8" width="15.26953125" customWidth="1"/>
  </cols>
  <sheetData>
    <row r="1" spans="1:7" x14ac:dyDescent="0.35">
      <c r="A1" t="s">
        <v>69</v>
      </c>
      <c r="B1" t="s">
        <v>70</v>
      </c>
      <c r="C1" t="s">
        <v>71</v>
      </c>
      <c r="F1" s="1" t="s">
        <v>82</v>
      </c>
    </row>
    <row r="2" spans="1:7" x14ac:dyDescent="0.35">
      <c r="A2" t="s">
        <v>72</v>
      </c>
      <c r="B2">
        <v>12000</v>
      </c>
      <c r="C2">
        <v>4500</v>
      </c>
      <c r="F2" s="1" t="s">
        <v>83</v>
      </c>
    </row>
    <row r="3" spans="1:7" x14ac:dyDescent="0.35">
      <c r="A3" t="s">
        <v>73</v>
      </c>
      <c r="B3">
        <v>13500</v>
      </c>
      <c r="C3">
        <v>4700</v>
      </c>
    </row>
    <row r="4" spans="1:7" x14ac:dyDescent="0.35">
      <c r="A4" t="s">
        <v>74</v>
      </c>
      <c r="B4">
        <v>11800</v>
      </c>
      <c r="C4">
        <v>4600</v>
      </c>
    </row>
    <row r="5" spans="1:7" x14ac:dyDescent="0.35">
      <c r="A5" t="s">
        <v>75</v>
      </c>
      <c r="B5">
        <v>12200</v>
      </c>
      <c r="C5">
        <v>4800</v>
      </c>
    </row>
    <row r="6" spans="1:7" x14ac:dyDescent="0.35">
      <c r="A6" t="s">
        <v>76</v>
      </c>
      <c r="B6">
        <v>45000</v>
      </c>
      <c r="C6">
        <v>4900</v>
      </c>
    </row>
    <row r="7" spans="1:7" x14ac:dyDescent="0.35">
      <c r="A7" t="s">
        <v>77</v>
      </c>
      <c r="B7">
        <v>12900</v>
      </c>
      <c r="C7">
        <v>4400</v>
      </c>
    </row>
    <row r="8" spans="1:7" x14ac:dyDescent="0.35">
      <c r="A8" t="s">
        <v>78</v>
      </c>
      <c r="B8">
        <v>13100</v>
      </c>
      <c r="C8">
        <v>5100</v>
      </c>
    </row>
    <row r="11" spans="1:7" x14ac:dyDescent="0.35">
      <c r="C11" t="s">
        <v>80</v>
      </c>
      <c r="D11" t="s">
        <v>79</v>
      </c>
      <c r="E11" t="s">
        <v>81</v>
      </c>
    </row>
    <row r="12" spans="1:7" x14ac:dyDescent="0.35">
      <c r="B12" t="s">
        <v>70</v>
      </c>
      <c r="C12">
        <f>MEDIAN(B2:B8)</f>
        <v>12900</v>
      </c>
      <c r="D12">
        <f>AVERAGE(B2:B8)</f>
        <v>17214.285714285714</v>
      </c>
      <c r="E12">
        <f>SKEW(B2:B8)</f>
        <v>2.631586304656155</v>
      </c>
      <c r="G12" s="4" t="s">
        <v>89</v>
      </c>
    </row>
    <row r="13" spans="1:7" x14ac:dyDescent="0.35">
      <c r="B13" t="s">
        <v>71</v>
      </c>
      <c r="C13">
        <f>MEDIAN(C2:C8)</f>
        <v>4700</v>
      </c>
      <c r="D13">
        <f>AVERAGE(C2:C8)</f>
        <v>4714.2857142857147</v>
      </c>
      <c r="E13">
        <f>SKEW(C2:C8)</f>
        <v>0.36727693613628104</v>
      </c>
    </row>
    <row r="15" spans="1:7" x14ac:dyDescent="0.35">
      <c r="B15" t="s">
        <v>88</v>
      </c>
    </row>
    <row r="17" spans="2:4" x14ac:dyDescent="0.35">
      <c r="C17" s="1" t="s">
        <v>84</v>
      </c>
      <c r="D17" s="1" t="s">
        <v>85</v>
      </c>
    </row>
    <row r="18" spans="2:4" x14ac:dyDescent="0.35">
      <c r="B18" t="s">
        <v>70</v>
      </c>
      <c r="C18">
        <f>_xlfn.VAR.S(B2:B8)</f>
        <v>150504761.90476191</v>
      </c>
      <c r="D18">
        <f>_xlfn.STDEV.S(B2:B8)</f>
        <v>12268.038225599148</v>
      </c>
    </row>
    <row r="19" spans="2:4" x14ac:dyDescent="0.35">
      <c r="B19" t="s">
        <v>71</v>
      </c>
      <c r="C19">
        <f>_xlfn.VAR.S(C2:C8)</f>
        <v>58095.238095238084</v>
      </c>
      <c r="D19">
        <f>_xlfn.STDEV.S(C2:C8)</f>
        <v>241.02953780654786</v>
      </c>
    </row>
    <row r="21" spans="2:4" x14ac:dyDescent="0.35">
      <c r="C21" s="1" t="s">
        <v>86</v>
      </c>
    </row>
    <row r="22" spans="2:4" x14ac:dyDescent="0.35">
      <c r="B22" t="s">
        <v>70</v>
      </c>
      <c r="C22">
        <f>D18/D12</f>
        <v>0.71266612098916216</v>
      </c>
    </row>
    <row r="23" spans="2:4" x14ac:dyDescent="0.35">
      <c r="B23" t="s">
        <v>71</v>
      </c>
      <c r="C23">
        <f>D19/D13</f>
        <v>5.112747771654045E-2</v>
      </c>
    </row>
    <row r="25" spans="2:4" x14ac:dyDescent="0.35">
      <c r="B25" s="4" t="s">
        <v>87</v>
      </c>
    </row>
  </sheetData>
  <autoFilter ref="A1:H1" xr:uid="{505C885D-FE79-4797-BF63-EB47F54C3A58}">
    <sortState xmlns:xlrd2="http://schemas.microsoft.com/office/spreadsheetml/2017/richdata2" ref="A2:H8">
      <sortCondition ref="A1"/>
    </sortState>
  </autoFilter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EBA31A7-EC52-4BF2-9E99-FA0655C3E8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'Daily Revenue Stream'!C2:C8</xm:f>
              <xm:sqref>F13</xm:sqref>
            </x14:sparkline>
          </x14:sparklines>
        </x14:sparklineGroup>
        <x14:sparklineGroup displayEmptyCellsAs="gap" xr2:uid="{997DB958-3B49-4DE6-8AB3-887312E1C8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'Daily Revenue Stream'!B2:B8</xm:f>
              <xm:sqref>F12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Set</vt:lpstr>
      <vt:lpstr>Reference Discount Matrix</vt:lpstr>
      <vt:lpstr>Messy Sales Logs</vt:lpstr>
      <vt:lpstr>Master Tier Reference</vt:lpstr>
      <vt:lpstr>Daily Revenue 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Guntur</dc:creator>
  <cp:lastModifiedBy>Pavani Guntur</cp:lastModifiedBy>
  <dcterms:created xsi:type="dcterms:W3CDTF">2026-10-11T07:20:54Z</dcterms:created>
  <dcterms:modified xsi:type="dcterms:W3CDTF">2026-10-11T18:45:19Z</dcterms:modified>
</cp:coreProperties>
</file>