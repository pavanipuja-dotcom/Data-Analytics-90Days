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VANI\0_90 Day Data Analyst\"/>
    </mc:Choice>
  </mc:AlternateContent>
  <xr:revisionPtr revIDLastSave="0" documentId="13_ncr:1_{EE4FF095-2EDF-4A6D-A159-23AD55A9503E}" xr6:coauthVersionLast="47" xr6:coauthVersionMax="47" xr10:uidLastSave="{00000000-0000-0000-0000-000000000000}"/>
  <bookViews>
    <workbookView xWindow="-110" yWindow="-110" windowWidth="19420" windowHeight="10300" xr2:uid="{76DB1905-2404-499A-9934-9D7DB2232214}"/>
  </bookViews>
  <sheets>
    <sheet name="Messy E-Commerce Customer Logs" sheetId="1" r:id="rId1"/>
    <sheet name="Name Standardization, Cleaning " sheetId="2" r:id="rId2"/>
    <sheet name="Email &amp; Domain Extraction" sheetId="3" r:id="rId3"/>
    <sheet name="Delimited Code Parsing" sheetId="4" r:id="rId4"/>
    <sheet name="String Replacement,Standardizat" sheetId="5" r:id="rId5"/>
    <sheet name="Dynamic Date Extraction from ID" sheetId="6" r:id="rId6"/>
    <sheet name="Messy Checkout &amp; Conversion Log" sheetId="7" r:id="rId7"/>
  </sheets>
  <definedNames>
    <definedName name="_xlnm._FilterDatabase" localSheetId="6" hidden="1">'Messy Checkout &amp; Conversion Log'!$A$1:$K$8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2" i="1"/>
  <c r="L6" i="1"/>
  <c r="L3" i="1"/>
  <c r="L4" i="1"/>
  <c r="L5" i="1"/>
  <c r="L2" i="1"/>
  <c r="K3" i="1"/>
  <c r="K4" i="1"/>
  <c r="K5" i="1"/>
  <c r="K6" i="1"/>
  <c r="K2" i="1"/>
  <c r="J6" i="1"/>
  <c r="J4" i="1"/>
  <c r="J5" i="1"/>
  <c r="J3" i="1"/>
  <c r="J2" i="1"/>
  <c r="I3" i="1"/>
  <c r="I2" i="1"/>
  <c r="I4" i="1"/>
  <c r="I5" i="1"/>
  <c r="I6" i="1"/>
  <c r="H6" i="1"/>
  <c r="H5" i="1"/>
  <c r="H4" i="1"/>
  <c r="H3" i="1"/>
  <c r="H2" i="1"/>
  <c r="G6" i="1"/>
  <c r="G4" i="1"/>
  <c r="G5" i="1"/>
  <c r="G3" i="1"/>
  <c r="G2" i="1"/>
  <c r="F3" i="1"/>
  <c r="F4" i="1"/>
  <c r="F5" i="1"/>
  <c r="F6" i="1"/>
  <c r="F2" i="1"/>
  <c r="J3" i="7"/>
  <c r="F8" i="7"/>
  <c r="F7" i="7"/>
  <c r="F6" i="7"/>
  <c r="F5" i="7"/>
  <c r="F4" i="7"/>
  <c r="J5" i="7" s="1"/>
  <c r="F3" i="7"/>
  <c r="K3" i="7" s="1"/>
  <c r="F2" i="7"/>
  <c r="J4" i="7" s="1"/>
  <c r="E8" i="7"/>
  <c r="E7" i="7"/>
  <c r="E6" i="7"/>
  <c r="E5" i="7"/>
  <c r="E4" i="7"/>
  <c r="E3" i="7"/>
  <c r="E2" i="7"/>
  <c r="I6" i="7" s="1"/>
  <c r="G6" i="6"/>
  <c r="G5" i="6"/>
  <c r="G4" i="6"/>
  <c r="G3" i="6"/>
  <c r="G2" i="6"/>
  <c r="F6" i="6"/>
  <c r="F5" i="6"/>
  <c r="F4" i="6"/>
  <c r="F3" i="6"/>
  <c r="F2" i="6"/>
  <c r="F6" i="5"/>
  <c r="F5" i="5"/>
  <c r="F4" i="5"/>
  <c r="F3" i="5"/>
  <c r="F2" i="5"/>
  <c r="G6" i="4"/>
  <c r="G5" i="4"/>
  <c r="G4" i="4"/>
  <c r="G3" i="4"/>
  <c r="G2" i="4"/>
  <c r="F6" i="4"/>
  <c r="F5" i="4"/>
  <c r="F4" i="4"/>
  <c r="F3" i="4"/>
  <c r="F2" i="4"/>
  <c r="G6" i="3"/>
  <c r="G4" i="3"/>
  <c r="G5" i="3"/>
  <c r="G3" i="3"/>
  <c r="G2" i="3"/>
  <c r="F6" i="3" a="1"/>
  <c r="F6" i="3" s="1"/>
  <c r="F5" i="3" a="1"/>
  <c r="F5" i="3" s="1"/>
  <c r="F4" i="3" a="1"/>
  <c r="F4" i="3" s="1"/>
  <c r="F3" i="3" a="1"/>
  <c r="F3" i="3" s="1"/>
  <c r="F2" i="3" a="1"/>
  <c r="F2" i="3" s="1"/>
  <c r="F3" i="2" a="1"/>
  <c r="F3" i="2" s="1"/>
  <c r="F4" i="2" a="1"/>
  <c r="F4" i="2"/>
  <c r="F5" i="2" a="1"/>
  <c r="F5" i="2" s="1"/>
  <c r="F6" i="2" a="1"/>
  <c r="F6" i="2" s="1"/>
  <c r="F2" i="2" a="1"/>
  <c r="F2" i="2" s="1"/>
  <c r="I5" i="7" l="1"/>
  <c r="J6" i="7"/>
  <c r="G5" i="7"/>
  <c r="H4" i="7"/>
  <c r="I3" i="7"/>
  <c r="K2" i="7"/>
  <c r="G7" i="7"/>
  <c r="H5" i="7"/>
  <c r="G4" i="7"/>
  <c r="H3" i="7"/>
  <c r="J2" i="7"/>
  <c r="K8" i="7"/>
  <c r="H6" i="7"/>
  <c r="I4" i="7"/>
  <c r="G3" i="7"/>
  <c r="I2" i="7"/>
  <c r="J8" i="7"/>
  <c r="K7" i="7"/>
  <c r="G6" i="7"/>
  <c r="H2" i="7"/>
  <c r="I8" i="7"/>
  <c r="J7" i="7"/>
  <c r="K6" i="7"/>
  <c r="H8" i="7"/>
  <c r="K5" i="7"/>
  <c r="G2" i="7"/>
  <c r="I7" i="7"/>
  <c r="G8" i="7"/>
  <c r="H7" i="7"/>
  <c r="K4" i="7"/>
</calcChain>
</file>

<file path=xl/sharedStrings.xml><?xml version="1.0" encoding="utf-8"?>
<sst xmlns="http://schemas.openxmlformats.org/spreadsheetml/2006/main" count="235" uniqueCount="70">
  <si>
    <t>Raw_Log_ID</t>
  </si>
  <si>
    <t>Full_Name</t>
  </si>
  <si>
    <t>Raw_Contact_Info</t>
  </si>
  <si>
    <t>Product_Sku_Tag</t>
  </si>
  <si>
    <t>Location_String</t>
  </si>
  <si>
    <t>LOG-101_2026-10-01</t>
  </si>
  <si>
    <t xml:space="preserve">  Johnathon Smith  </t>
  </si>
  <si>
    <t>johnathon.smith@techcorp.com (Verified)</t>
  </si>
  <si>
    <t>SKU-ELE-9982-US</t>
  </si>
  <si>
    <t>Austin / TX / 78701</t>
  </si>
  <si>
    <t>LOG-102_2026-10-01</t>
  </si>
  <si>
    <t>MARIA GARCIA</t>
  </si>
  <si>
    <t>maria_g@express-logistics.net (Unverified)</t>
  </si>
  <si>
    <t>SKU-CLO-1029-EU</t>
  </si>
  <si>
    <t>Miami / FL / 33101</t>
  </si>
  <si>
    <t>LOG-103_2026-10-02</t>
  </si>
  <si>
    <t xml:space="preserve">   david lee   </t>
  </si>
  <si>
    <t>david.lee@innovate.org (Verified)</t>
  </si>
  <si>
    <t>SKU-HOME-4410-US</t>
  </si>
  <si>
    <t>Seattle / WA / 98101</t>
  </si>
  <si>
    <t>LOG-104_2026-10-02</t>
  </si>
  <si>
    <t>Sarah-Jane Parker</t>
  </si>
  <si>
    <t>s.parker@retailhub.co.uk (Verified)</t>
  </si>
  <si>
    <t>SKU-ELE-8831-UK</t>
  </si>
  <si>
    <t>London / ENG / SW1A</t>
  </si>
  <si>
    <t>LOG-105_2026-10-03</t>
  </si>
  <si>
    <t>Robert "Bob" Johnson</t>
  </si>
  <si>
    <t>bob.j@global-store.com (Unverified)</t>
  </si>
  <si>
    <t>SKU-CLO-5521-US</t>
  </si>
  <si>
    <t>Chicago / IL / 60601</t>
  </si>
  <si>
    <t>Clean_Name</t>
  </si>
  <si>
    <t>Email_Address</t>
  </si>
  <si>
    <t>Domain_Name</t>
  </si>
  <si>
    <t>Category</t>
  </si>
  <si>
    <t>Product_ID</t>
  </si>
  <si>
    <t>Clean_Location</t>
  </si>
  <si>
    <t>Log Code</t>
  </si>
  <si>
    <t>Log Date</t>
  </si>
  <si>
    <t>Transaction_String</t>
  </si>
  <si>
    <t>Customer_Segment_Raw</t>
  </si>
  <si>
    <t>Cart_Value_Raw</t>
  </si>
  <si>
    <t>Checkout_Status</t>
  </si>
  <si>
    <t>ORDER-8801_COMPLETE</t>
  </si>
  <si>
    <t>SEG-ENT_Enterprise_Tier</t>
  </si>
  <si>
    <t>$1,250.00 USD</t>
  </si>
  <si>
    <t>Converted</t>
  </si>
  <si>
    <t>ORDER-8802_ABANDON</t>
  </si>
  <si>
    <t>SEG-SMB_SmallBusiness</t>
  </si>
  <si>
    <t>$320.50 USD</t>
  </si>
  <si>
    <t>Abandoned</t>
  </si>
  <si>
    <t>ORDER-8803_COMPLETE</t>
  </si>
  <si>
    <t>SEG-RETAIL_Retailer</t>
  </si>
  <si>
    <t>$45.00 USD</t>
  </si>
  <si>
    <t>ORDER-8804_ABANDON</t>
  </si>
  <si>
    <t>$4,100.00 USD</t>
  </si>
  <si>
    <t>ORDER-8805_COMPLETE</t>
  </si>
  <si>
    <t>$890.00 USD</t>
  </si>
  <si>
    <t>ORDER-8806_COMPLETE</t>
  </si>
  <si>
    <t>$110.00 USD</t>
  </si>
  <si>
    <t>ORDER-8807_ABANDON</t>
  </si>
  <si>
    <t>$2,800.00 USD</t>
  </si>
  <si>
    <t>Clean_Segment</t>
  </si>
  <si>
    <t>Numeric Cart Value</t>
  </si>
  <si>
    <t>Enterprise Conversion Rate</t>
  </si>
  <si>
    <t>SmallBusiness Conversion Rate</t>
  </si>
  <si>
    <t>Retailer Conversion Rate</t>
  </si>
  <si>
    <t>AVERAGE Order Value</t>
  </si>
  <si>
    <t>Total Abandoned Cart Revenue</t>
  </si>
  <si>
    <t>Email Address</t>
  </si>
  <si>
    <t>Domain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</si>
</sst>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05DD-0F53-4E41-8B80-D250F7C94E5C}">
  <dimension ref="A1:M6"/>
  <sheetViews>
    <sheetView tabSelected="1" workbookViewId="0">
      <selection activeCell="D12" sqref="D12"/>
    </sheetView>
  </sheetViews>
  <sheetFormatPr defaultRowHeight="14.5" x14ac:dyDescent="0.35"/>
  <cols>
    <col min="1" max="1" width="18.36328125" bestFit="1" customWidth="1"/>
    <col min="2" max="2" width="19.36328125" bestFit="1" customWidth="1"/>
    <col min="3" max="3" width="37" bestFit="1" customWidth="1"/>
    <col min="4" max="4" width="17.6328125" bestFit="1" customWidth="1"/>
    <col min="5" max="5" width="19.1796875" bestFit="1" customWidth="1"/>
    <col min="6" max="6" width="17.81640625" customWidth="1"/>
    <col min="7" max="7" width="27.81640625" customWidth="1"/>
    <col min="8" max="8" width="20.90625" customWidth="1"/>
    <col min="10" max="10" width="12.1796875" customWidth="1"/>
    <col min="11" max="11" width="16.453125" customWidth="1"/>
    <col min="13" max="13" width="12.453125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68</v>
      </c>
      <c r="H1" s="1" t="s">
        <v>69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tr">
        <f>TRIM(B2:B6)</f>
        <v>Johnathon Smith</v>
      </c>
      <c r="G2" t="str">
        <f>LEFT(C2,FIND(" ",C2)-1)</f>
        <v>johnathon.smith@techcorp.com</v>
      </c>
      <c r="H2" t="str">
        <f>RIGHT(G2,LEN(G2)-FIND("@",G2))</f>
        <v>techcorp.com</v>
      </c>
      <c r="I2" t="str">
        <f>MID(D2,5,FIND("-",D2,5)-5)</f>
        <v>ELE</v>
      </c>
      <c r="J2" t="str">
        <f>MID(D2,FIND("-",D2,5)+1,4)</f>
        <v>9982</v>
      </c>
      <c r="K2" t="str">
        <f>TRIM(SUBSTITUTE(E2," / ", "-"))</f>
        <v>Austin-TX-78701</v>
      </c>
      <c r="L2" t="str">
        <f>LEFT(A2,FIND("_",A2)-1)</f>
        <v>LOG-101</v>
      </c>
      <c r="M2" t="str">
        <f>RIGHT(A2,LEN(A2)-FIND("_",A2))</f>
        <v>2026-10-01</v>
      </c>
    </row>
    <row r="3" spans="1:13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tr">
        <f t="shared" ref="F3:F6" si="0">TRIM(B3:B7)</f>
        <v>MARIA GARCIA</v>
      </c>
      <c r="G3" t="str">
        <f>LEFT(C3,FIND(" ",C3)-1)</f>
        <v>maria_g@express-logistics.net</v>
      </c>
      <c r="H3" t="str">
        <f>RIGHT(G3,LEN(G3)-FIND("@",G3))</f>
        <v>express-logistics.net</v>
      </c>
      <c r="I3" t="str">
        <f>MID(D3,5,FIND("-",D3,5)-5)</f>
        <v>CLO</v>
      </c>
      <c r="J3" t="str">
        <f>MID(D3,FIND("-",D3,5)+1,4)</f>
        <v>1029</v>
      </c>
      <c r="K3" t="str">
        <f t="shared" ref="K3:K6" si="1">TRIM(SUBSTITUTE(E3," / ", "-"))</f>
        <v>Miami-FL-33101</v>
      </c>
      <c r="L3" t="str">
        <f t="shared" ref="L3:L5" si="2">LEFT(A3,FIND("_",A3)-1)</f>
        <v>LOG-102</v>
      </c>
      <c r="M3" t="str">
        <f t="shared" ref="M3:M6" si="3">RIGHT(A3,LEN(A3)-FIND("_",A3))</f>
        <v>2026-10-01</v>
      </c>
    </row>
    <row r="4" spans="1:13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tr">
        <f t="shared" si="0"/>
        <v>david lee</v>
      </c>
      <c r="G4" t="str">
        <f>LEFT(C4,FIND(" ",C4)-1)</f>
        <v>david.lee@innovate.org</v>
      </c>
      <c r="H4" t="str">
        <f>RIGHT(G4,LEN(G4)-FIND("@",G4))</f>
        <v>innovate.org</v>
      </c>
      <c r="I4" t="str">
        <f t="shared" ref="I3:I6" si="4">MID(D4,5,FIND("-",D4,5)-5)</f>
        <v>HOME</v>
      </c>
      <c r="J4" t="str">
        <f>MID(D4,FIND("-",D4,5)+1,4)</f>
        <v>4410</v>
      </c>
      <c r="K4" t="str">
        <f t="shared" si="1"/>
        <v>Seattle-WA-98101</v>
      </c>
      <c r="L4" t="str">
        <f t="shared" si="2"/>
        <v>LOG-103</v>
      </c>
      <c r="M4" t="str">
        <f t="shared" si="3"/>
        <v>2026-10-02</v>
      </c>
    </row>
    <row r="5" spans="1:13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tr">
        <f t="shared" si="0"/>
        <v>Sarah-Jane Parker</v>
      </c>
      <c r="G5" t="str">
        <f>LEFT(C5,FIND(" ",C5)-1)</f>
        <v>s.parker@retailhub.co.uk</v>
      </c>
      <c r="H5" t="str">
        <f>RIGHT(G5,LEN(G5)-FIND("@",G5))</f>
        <v>retailhub.co.uk</v>
      </c>
      <c r="I5" t="str">
        <f t="shared" si="4"/>
        <v>ELE</v>
      </c>
      <c r="J5" t="str">
        <f>MID(D5,FIND("-",D5,5)+1,4)</f>
        <v>8831</v>
      </c>
      <c r="K5" t="str">
        <f t="shared" si="1"/>
        <v>London-ENG-SW1A</v>
      </c>
      <c r="L5" t="str">
        <f t="shared" si="2"/>
        <v>LOG-104</v>
      </c>
      <c r="M5" t="str">
        <f t="shared" si="3"/>
        <v>2026-10-02</v>
      </c>
    </row>
    <row r="6" spans="1:13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tr">
        <f t="shared" si="0"/>
        <v>Robert "Bob" Johnson</v>
      </c>
      <c r="G6" t="str">
        <f>LEFT(C6,FIND(" ",C6)-1)</f>
        <v>bob.j@global-store.com</v>
      </c>
      <c r="H6" t="str">
        <f>RIGHT(G6,LEN(G6)-FIND("@",G6))</f>
        <v>global-store.com</v>
      </c>
      <c r="I6" t="str">
        <f t="shared" si="4"/>
        <v>CLO</v>
      </c>
      <c r="J6" t="str">
        <f>MID(D6,FIND("-",D6,5)+1,4)</f>
        <v>5521</v>
      </c>
      <c r="K6" t="str">
        <f t="shared" si="1"/>
        <v>Chicago-IL-60601</v>
      </c>
      <c r="L6" t="str">
        <f>LEFT(A6,FIND("_",A6)-1)</f>
        <v>LOG-105</v>
      </c>
      <c r="M6" t="str">
        <f t="shared" si="3"/>
        <v>2026-10-03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9069-3F07-4A45-8C10-F70B71E21AD9}">
  <dimension ref="A1:F6"/>
  <sheetViews>
    <sheetView workbookViewId="0">
      <selection activeCell="F8" sqref="F8"/>
    </sheetView>
  </sheetViews>
  <sheetFormatPr defaultRowHeight="14.5" x14ac:dyDescent="0.35"/>
  <cols>
    <col min="1" max="1" width="18.36328125" bestFit="1" customWidth="1"/>
    <col min="2" max="2" width="19.36328125" bestFit="1" customWidth="1"/>
    <col min="3" max="3" width="37" bestFit="1" customWidth="1"/>
    <col min="4" max="4" width="17.6328125" bestFit="1" customWidth="1"/>
    <col min="5" max="5" width="19.1796875" bestFit="1" customWidth="1"/>
    <col min="6" max="6" width="21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30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s="3" t="str">
        <f t="array" ref="F2">UPPER(TRIM(B2:B6))</f>
        <v>JOHNATHON SMITH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3" t="str">
        <f t="array" ref="F3">UPPER(TRIM(B3:B7))</f>
        <v>MARIA GARCIA</v>
      </c>
    </row>
    <row r="4" spans="1:6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s="3" t="str">
        <f t="array" ref="F4">UPPER(TRIM(B4:B8))</f>
        <v>DAVID LEE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s="3" t="str">
        <f t="array" ref="F5">UPPER(TRIM(B5:B9))</f>
        <v>SARAH-JANE PARKER</v>
      </c>
    </row>
    <row r="6" spans="1:6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s="3" t="str">
        <f t="array" ref="F6">UPPER(TRIM(B6:B10))</f>
        <v>ROBERT "BOB" JOHNSON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2035-CE01-4C72-B9BD-26BF0D77AC31}">
  <dimension ref="A1:G6"/>
  <sheetViews>
    <sheetView topLeftCell="B1" workbookViewId="0">
      <selection activeCell="H12" sqref="H12"/>
    </sheetView>
  </sheetViews>
  <sheetFormatPr defaultRowHeight="14.5" x14ac:dyDescent="0.35"/>
  <cols>
    <col min="1" max="1" width="18.36328125" bestFit="1" customWidth="1"/>
    <col min="2" max="2" width="19.36328125" bestFit="1" customWidth="1"/>
    <col min="3" max="3" width="37" bestFit="1" customWidth="1"/>
    <col min="4" max="4" width="17.6328125" bestFit="1" customWidth="1"/>
    <col min="5" max="5" width="19.1796875" bestFit="1" customWidth="1"/>
    <col min="6" max="6" width="29.1796875" customWidth="1"/>
    <col min="7" max="7" width="22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31</v>
      </c>
      <c r="G1" s="2" t="s">
        <v>32</v>
      </c>
    </row>
    <row r="2" spans="1:7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s="3" t="str">
        <f t="array" ref="F2">LEFT(C2, FIND(" ",C2)-1)</f>
        <v>johnathon.smith@techcorp.com</v>
      </c>
      <c r="G2" s="3" t="str">
        <f>MID(F2,FIND("@",F2) +1,LEN(F2)-FIND("@",F2))</f>
        <v>techcorp.com</v>
      </c>
    </row>
    <row r="3" spans="1:7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3" t="str">
        <f t="array" ref="F3">LEFT(C3, FIND(" ",C3)-1)</f>
        <v>maria_g@express-logistics.net</v>
      </c>
      <c r="G3" s="3" t="str">
        <f>MID(F3,FIND("@",F3)+1,LEN(F3)-FIND("@",F3))</f>
        <v>express-logistics.net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s="3" t="str">
        <f t="array" ref="F4">LEFT(C4, FIND(" ",C4)-1)</f>
        <v>david.lee@innovate.org</v>
      </c>
      <c r="G4" s="3" t="str">
        <f>MID(F4,FIND("@",F4)+1,LEN(F4)-FIND("@",F4))</f>
        <v>innovate.org</v>
      </c>
    </row>
    <row r="5" spans="1:7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s="3" t="str">
        <f t="array" ref="F5">LEFT(C5, FIND(" ",C5)-1)</f>
        <v>s.parker@retailhub.co.uk</v>
      </c>
      <c r="G5" s="3" t="str">
        <f>MID(F5,FIND("@",F5)+1,LEN(F5)-FIND("@",F5))</f>
        <v>retailhub.co.uk</v>
      </c>
    </row>
    <row r="6" spans="1:7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s="3" t="str">
        <f t="array" ref="F6">LEFT(C6, FIND(" ",C6)-1)</f>
        <v>bob.j@global-store.com</v>
      </c>
      <c r="G6" s="3" t="str">
        <f>MID(F6,FIND("@",F6)+1,LEN(F6)-FIND("@",F6))</f>
        <v>global-store.com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4712-CE09-4C06-8DC6-AF89CFF96BB6}">
  <dimension ref="A1:G6"/>
  <sheetViews>
    <sheetView workbookViewId="0">
      <selection activeCell="G2" sqref="G2"/>
    </sheetView>
  </sheetViews>
  <sheetFormatPr defaultColWidth="18" defaultRowHeight="14.5" x14ac:dyDescent="0.35"/>
  <cols>
    <col min="1" max="1" width="18.36328125" bestFit="1" customWidth="1"/>
    <col min="2" max="2" width="19.36328125" bestFit="1" customWidth="1"/>
    <col min="3" max="3" width="37" bestFit="1" customWidth="1"/>
    <col min="4" max="4" width="17.6328125" bestFit="1" customWidth="1"/>
    <col min="5" max="5" width="19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33</v>
      </c>
      <c r="G1" s="2" t="s">
        <v>34</v>
      </c>
    </row>
    <row r="2" spans="1:7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s="3" t="str">
        <f>MID(D2, 5, FIND("-", D2, 5) - 5)</f>
        <v>ELE</v>
      </c>
      <c r="G2" s="3" t="str">
        <f>MID(D2,FIND("-",D2,5)+1,4)</f>
        <v>9982</v>
      </c>
    </row>
    <row r="3" spans="1:7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3" t="str">
        <f>MID(D3,5, FIND("-",D3,5)-5)</f>
        <v>CLO</v>
      </c>
      <c r="G3" s="3" t="str">
        <f>MID(D3,FIND("-",D3,5)+1,4)</f>
        <v>1029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s="3" t="str">
        <f>MID(D4,5, FIND("-",D4,5)-5)</f>
        <v>HOME</v>
      </c>
      <c r="G4" s="3" t="str">
        <f>MID(D4,FIND("-",D4,5)+1,4)</f>
        <v>4410</v>
      </c>
    </row>
    <row r="5" spans="1:7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s="3" t="str">
        <f>MID(D5,5, FIND("-",D5,5)-5)</f>
        <v>ELE</v>
      </c>
      <c r="G5" s="3" t="str">
        <f>MID(D5,FIND("-",D5,5)+1,4)</f>
        <v>8831</v>
      </c>
    </row>
    <row r="6" spans="1:7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s="3" t="str">
        <f>MID(D6,5,FIND("-",D6,5)-5)</f>
        <v>CLO</v>
      </c>
      <c r="G6" s="3" t="str">
        <f>MID(D6,FIND("-",D6,5)+1,4)</f>
        <v>5521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C20A-92DA-43FC-A722-1CACB30A83D0}">
  <dimension ref="A1:F6"/>
  <sheetViews>
    <sheetView workbookViewId="0">
      <selection activeCell="F7" sqref="F7"/>
    </sheetView>
  </sheetViews>
  <sheetFormatPr defaultRowHeight="14.5" x14ac:dyDescent="0.35"/>
  <cols>
    <col min="1" max="1" width="18.36328125" bestFit="1" customWidth="1"/>
    <col min="2" max="2" width="19.36328125" bestFit="1" customWidth="1"/>
    <col min="3" max="3" width="37" bestFit="1" customWidth="1"/>
    <col min="4" max="4" width="17.6328125" bestFit="1" customWidth="1"/>
    <col min="5" max="5" width="19.1796875" bestFit="1" customWidth="1"/>
    <col min="6" max="6" width="16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35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s="3" t="str">
        <f>TRIM(SUBSTITUTE(E2," / ","-"))</f>
        <v>Austin-TX-78701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3" t="str">
        <f>TRIM(SUBSTITUTE(E3," / ","-"))</f>
        <v>Miami-FL-33101</v>
      </c>
    </row>
    <row r="4" spans="1:6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s="3" t="str">
        <f>TRIM(SUBSTITUTE(E4," / ","-"))</f>
        <v>Seattle-WA-98101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s="3" t="str">
        <f>TRIM(SUBSTITUTE(E5," / ","-"))</f>
        <v>London-ENG-SW1A</v>
      </c>
    </row>
    <row r="6" spans="1:6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s="3" t="str">
        <f>TRIM(SUBSTITUTE(E6," / ","-"))</f>
        <v>Chicago-IL-60601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11E0-0A12-4A41-824C-32087C6FF3CF}">
  <dimension ref="A1:G6"/>
  <sheetViews>
    <sheetView workbookViewId="0">
      <selection activeCell="G7" sqref="G7"/>
    </sheetView>
  </sheetViews>
  <sheetFormatPr defaultRowHeight="14.5" x14ac:dyDescent="0.35"/>
  <cols>
    <col min="1" max="1" width="18.36328125" bestFit="1" customWidth="1"/>
    <col min="2" max="2" width="19.36328125" bestFit="1" customWidth="1"/>
    <col min="3" max="3" width="37" bestFit="1" customWidth="1"/>
    <col min="4" max="4" width="17.6328125" bestFit="1" customWidth="1"/>
    <col min="5" max="5" width="19.1796875" bestFit="1" customWidth="1"/>
    <col min="7" max="7" width="11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</v>
      </c>
      <c r="G1" s="1" t="s">
        <v>37</v>
      </c>
    </row>
    <row r="2" spans="1:7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tr">
        <f>LEFT(A2,FIND("_",A2)-1)</f>
        <v>LOG-101</v>
      </c>
      <c r="G2" t="str">
        <f>RIGHT(A2,FIND("_",A2)+2)</f>
        <v>2026-10-01</v>
      </c>
    </row>
    <row r="3" spans="1:7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tr">
        <f>LEFT(A3,FIND("_",A3)-1)</f>
        <v>LOG-102</v>
      </c>
      <c r="G3" t="str">
        <f>RIGHT(A3,FIND("_",A3)+2)</f>
        <v>2026-10-01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tr">
        <f>LEFT(A4,FIND("_",A4)-1)</f>
        <v>LOG-103</v>
      </c>
      <c r="G4" t="str">
        <f>RIGHT(A4,FIND("_",A4)+2)</f>
        <v>2026-10-02</v>
      </c>
    </row>
    <row r="5" spans="1:7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tr">
        <f>LEFT(A5,FIND("_",A5)-1)</f>
        <v>LOG-104</v>
      </c>
      <c r="G5" t="str">
        <f>RIGHT(A5,LEN(A5)-FIND("_",A5))</f>
        <v>2026-10-02</v>
      </c>
    </row>
    <row r="6" spans="1:7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tr">
        <f>LEFT(A6,FIND("_",A6)-1)</f>
        <v>LOG-105</v>
      </c>
      <c r="G6" t="str">
        <f>RIGHT(A6,LEN(A6)-FIND("_",A6))</f>
        <v>2026-10-03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9E05-502B-4EA9-904E-EABD05E4E650}">
  <sheetPr filterMode="1"/>
  <dimension ref="A1:K8"/>
  <sheetViews>
    <sheetView workbookViewId="0">
      <selection activeCell="F14" sqref="F14"/>
    </sheetView>
  </sheetViews>
  <sheetFormatPr defaultRowHeight="14.5" x14ac:dyDescent="0.35"/>
  <cols>
    <col min="1" max="1" width="21.54296875" bestFit="1" customWidth="1"/>
    <col min="2" max="2" width="21.90625" bestFit="1" customWidth="1"/>
    <col min="3" max="3" width="14.54296875" bestFit="1" customWidth="1"/>
    <col min="4" max="4" width="14.7265625" bestFit="1" customWidth="1"/>
    <col min="5" max="5" width="14.54296875" customWidth="1"/>
    <col min="6" max="6" width="17.7265625" customWidth="1"/>
    <col min="7" max="7" width="25.1796875" customWidth="1"/>
    <col min="8" max="8" width="30.36328125" customWidth="1"/>
    <col min="9" max="9" width="20.90625" customWidth="1"/>
    <col min="10" max="10" width="17.7265625" customWidth="1"/>
    <col min="11" max="11" width="26" customWidth="1"/>
  </cols>
  <sheetData>
    <row r="1" spans="1:11" s="1" customFormat="1" x14ac:dyDescent="0.35">
      <c r="A1" s="1" t="s">
        <v>38</v>
      </c>
      <c r="B1" s="1" t="s">
        <v>39</v>
      </c>
      <c r="C1" s="1" t="s">
        <v>40</v>
      </c>
      <c r="D1" s="1" t="s">
        <v>41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</row>
    <row r="2" spans="1:11" hidden="1" x14ac:dyDescent="0.35">
      <c r="A2" t="s">
        <v>42</v>
      </c>
      <c r="B2" t="s">
        <v>43</v>
      </c>
      <c r="C2" t="s">
        <v>44</v>
      </c>
      <c r="D2" t="s">
        <v>45</v>
      </c>
      <c r="E2" s="3" t="str">
        <f>MID(B2,FIND("_",B2)+1, LEN(B2))</f>
        <v>Enterprise_Tier</v>
      </c>
      <c r="F2" s="3">
        <f>VALUE(SUBSTITUTE(SUBSTITUTE(C2,"$",""), " USD", ""))</f>
        <v>1250</v>
      </c>
      <c r="G2" s="3">
        <f>COUNTIFS($E$2:$E$8, "Enterprise_Tier", $D$2:$D$8, "Converted") / COUNTIF($E$2:$E$8, "Enterprise_Tier")</f>
        <v>0.33333333333333331</v>
      </c>
      <c r="H2" s="3">
        <f>COUNTIFS($E$2:$E$8,"SmallBusiness",$D$2:$D$8,"Converted")/COUNTIF($E$2:$E$8,"SmallBusiness")</f>
        <v>0.5</v>
      </c>
      <c r="I2" s="3">
        <f>COUNTIFS($E$2:$E$8,"Retailer",$D$2:$D$8,"Converted")/COUNTIF($E$2:$E$8, "Retailer")</f>
        <v>1</v>
      </c>
      <c r="J2" s="3">
        <f>AVERAGEIF($D$2:$D$8, "Converted", $F$2:$F$8)</f>
        <v>573.75</v>
      </c>
      <c r="K2" s="3">
        <f>SUMIF($D$2:$D$8, "Abandoned",$F$2:$F$8)</f>
        <v>7220.5</v>
      </c>
    </row>
    <row r="3" spans="1:11" x14ac:dyDescent="0.35">
      <c r="A3" t="s">
        <v>46</v>
      </c>
      <c r="B3" t="s">
        <v>47</v>
      </c>
      <c r="C3" t="s">
        <v>48</v>
      </c>
      <c r="D3" t="s">
        <v>49</v>
      </c>
      <c r="E3" s="3" t="str">
        <f>MID(B3,FIND("_",B3)+1,LEN(B3))</f>
        <v>SmallBusiness</v>
      </c>
      <c r="F3" s="3">
        <f>VALUE(SUBSTITUTE(SUBSTITUTE(C3,"$",""), " USD", ""))</f>
        <v>320.5</v>
      </c>
      <c r="G3" s="3">
        <f t="shared" ref="G3:G8" si="0">COUNTIFS($E$2:$E$8, "Enterprise_Tier", $D$2:$D$8, "Converted") / COUNTIF($E$2:$E$8, "Enterprise_Tier")</f>
        <v>0.33333333333333331</v>
      </c>
      <c r="H3" s="3">
        <f t="shared" ref="H3:H8" si="1">COUNTIFS($E$2:$E$8,"SmallBusiness",$D$2:$D$8,"Converted")/COUNTIF($E$2:$E$8,"SmallBusiness")</f>
        <v>0.5</v>
      </c>
      <c r="I3" s="3">
        <f t="shared" ref="I3:I8" si="2">COUNTIFS($E$2:$E$8,"Retailer",$D$2:$D$8,"Converted")/COUNTIF($E$2:$E$8, "Retailer")</f>
        <v>1</v>
      </c>
      <c r="J3" s="3">
        <f t="shared" ref="J3:J8" si="3">AVERAGEIF($D$2:$D$8, "Converted", $F$2:$F$8)</f>
        <v>573.75</v>
      </c>
      <c r="K3" s="3">
        <f t="shared" ref="K3:K8" si="4">SUMIF($D$2:$D$8, "Abandoned",$F$2:$F$8)</f>
        <v>7220.5</v>
      </c>
    </row>
    <row r="4" spans="1:11" hidden="1" x14ac:dyDescent="0.35">
      <c r="A4" t="s">
        <v>50</v>
      </c>
      <c r="B4" t="s">
        <v>51</v>
      </c>
      <c r="C4" t="s">
        <v>52</v>
      </c>
      <c r="D4" t="s">
        <v>45</v>
      </c>
      <c r="E4" s="3" t="str">
        <f>MID(B4,FIND("_",B4)+1,LEN(B4))</f>
        <v>Retailer</v>
      </c>
      <c r="F4" s="3">
        <f>VALUE(SUBSTITUTE(SUBSTITUTE(C4,"$",""), " USD", ""))</f>
        <v>45</v>
      </c>
      <c r="G4" s="3">
        <f t="shared" si="0"/>
        <v>0.33333333333333331</v>
      </c>
      <c r="H4" s="3">
        <f t="shared" si="1"/>
        <v>0.5</v>
      </c>
      <c r="I4" s="3">
        <f t="shared" si="2"/>
        <v>1</v>
      </c>
      <c r="J4" s="3">
        <f t="shared" si="3"/>
        <v>573.75</v>
      </c>
      <c r="K4" s="3">
        <f t="shared" si="4"/>
        <v>7220.5</v>
      </c>
    </row>
    <row r="5" spans="1:11" x14ac:dyDescent="0.35">
      <c r="A5" t="s">
        <v>53</v>
      </c>
      <c r="B5" t="s">
        <v>43</v>
      </c>
      <c r="C5" t="s">
        <v>54</v>
      </c>
      <c r="D5" t="s">
        <v>49</v>
      </c>
      <c r="E5" s="3" t="str">
        <f>MID(B5,FIND("_",B5)+1,LEN(B5))</f>
        <v>Enterprise_Tier</v>
      </c>
      <c r="F5" s="3">
        <f>VALUE(SUBSTITUTE(SUBSTITUTE(C5,"$",""), " USD",""))</f>
        <v>4100</v>
      </c>
      <c r="G5" s="3">
        <f t="shared" si="0"/>
        <v>0.33333333333333331</v>
      </c>
      <c r="H5" s="3">
        <f t="shared" si="1"/>
        <v>0.5</v>
      </c>
      <c r="I5" s="3">
        <f t="shared" si="2"/>
        <v>1</v>
      </c>
      <c r="J5" s="3">
        <f t="shared" si="3"/>
        <v>573.75</v>
      </c>
      <c r="K5" s="3">
        <f t="shared" si="4"/>
        <v>7220.5</v>
      </c>
    </row>
    <row r="6" spans="1:11" hidden="1" x14ac:dyDescent="0.35">
      <c r="A6" t="s">
        <v>55</v>
      </c>
      <c r="B6" t="s">
        <v>47</v>
      </c>
      <c r="C6" t="s">
        <v>56</v>
      </c>
      <c r="D6" t="s">
        <v>45</v>
      </c>
      <c r="E6" s="3" t="str">
        <f>MID(B6,FIND("_",B6)+1,LEN(B6))</f>
        <v>SmallBusiness</v>
      </c>
      <c r="F6" s="3">
        <f>VALUE(SUBSTITUTE(SUBSTITUTE(C6,"$",""), " USD",""))</f>
        <v>890</v>
      </c>
      <c r="G6" s="3">
        <f t="shared" si="0"/>
        <v>0.33333333333333331</v>
      </c>
      <c r="H6" s="3">
        <f t="shared" si="1"/>
        <v>0.5</v>
      </c>
      <c r="I6" s="3">
        <f t="shared" si="2"/>
        <v>1</v>
      </c>
      <c r="J6" s="3">
        <f>AVERAGEIF(D2:D8, "Converted",F2:F8)</f>
        <v>573.75</v>
      </c>
      <c r="K6" s="3">
        <f t="shared" si="4"/>
        <v>7220.5</v>
      </c>
    </row>
    <row r="7" spans="1:11" hidden="1" x14ac:dyDescent="0.35">
      <c r="A7" t="s">
        <v>57</v>
      </c>
      <c r="B7" t="s">
        <v>51</v>
      </c>
      <c r="C7" t="s">
        <v>58</v>
      </c>
      <c r="D7" t="s">
        <v>45</v>
      </c>
      <c r="E7" s="3" t="str">
        <f>MID(B7,FIND("_",B7)+1,LEN(B7))</f>
        <v>Retailer</v>
      </c>
      <c r="F7" s="3">
        <f>VALUE(SUBSTITUTE(SUBSTITUTE(C7,"$",""), " USD",""))</f>
        <v>110</v>
      </c>
      <c r="G7" s="3">
        <f t="shared" si="0"/>
        <v>0.33333333333333331</v>
      </c>
      <c r="H7" s="3">
        <f t="shared" si="1"/>
        <v>0.5</v>
      </c>
      <c r="I7" s="3">
        <f t="shared" si="2"/>
        <v>1</v>
      </c>
      <c r="J7" s="3">
        <f t="shared" si="3"/>
        <v>573.75</v>
      </c>
      <c r="K7" s="3">
        <f t="shared" si="4"/>
        <v>7220.5</v>
      </c>
    </row>
    <row r="8" spans="1:11" x14ac:dyDescent="0.35">
      <c r="A8" t="s">
        <v>59</v>
      </c>
      <c r="B8" t="s">
        <v>43</v>
      </c>
      <c r="C8" t="s">
        <v>60</v>
      </c>
      <c r="D8" t="s">
        <v>49</v>
      </c>
      <c r="E8" s="3" t="str">
        <f>MID(B8,FIND("_",B8)+1,LEN(B8))</f>
        <v>Enterprise_Tier</v>
      </c>
      <c r="F8" s="3">
        <f>VALUE(SUBSTITUTE(SUBSTITUTE(C8,"$","")," USD",""))</f>
        <v>2800</v>
      </c>
      <c r="G8" s="3">
        <f t="shared" si="0"/>
        <v>0.33333333333333331</v>
      </c>
      <c r="H8" s="3">
        <f t="shared" si="1"/>
        <v>0.5</v>
      </c>
      <c r="I8" s="3">
        <f t="shared" si="2"/>
        <v>1</v>
      </c>
      <c r="J8" s="3">
        <f t="shared" si="3"/>
        <v>573.75</v>
      </c>
      <c r="K8" s="3">
        <f t="shared" si="4"/>
        <v>7220.5</v>
      </c>
    </row>
  </sheetData>
  <autoFilter ref="A1:K8" xr:uid="{30F29E05-502B-4EA9-904E-EABD05E4E650}">
    <filterColumn colId="3">
      <filters>
        <filter val="Abandon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Messy E-Commerce Customer Logs</vt:lpstr>
      <vt:lpstr>Name Standardization, Cleaning </vt:lpstr>
      <vt:lpstr>Email &amp; Domain Extraction</vt:lpstr>
      <vt:lpstr>Delimited Code Parsing</vt:lpstr>
      <vt:lpstr>String Replacement,Standardizat</vt:lpstr>
      <vt:lpstr>Dynamic Date Extraction from ID</vt:lpstr>
      <vt:lpstr>Messy Checkout &amp; Conversion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 Guntur</dc:creator>
  <cp:lastModifiedBy>Pavani Guntur</cp:lastModifiedBy>
  <dcterms:created xsi:type="dcterms:W3CDTF">2026-10-13T07:05:35Z</dcterms:created>
  <dcterms:modified xsi:type="dcterms:W3CDTF">2026-10-13T10:13:15Z</dcterms:modified>
</cp:coreProperties>
</file>