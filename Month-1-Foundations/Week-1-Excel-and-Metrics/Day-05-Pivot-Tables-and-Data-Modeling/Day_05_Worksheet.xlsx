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tables/table2.xml" ContentType="application/vnd.openxmlformats-officedocument.spreadsheetml.table+xml"/>
  <Override PartName="/xl/pivotTables/pivotTable6.xml" ContentType="application/vnd.openxmlformats-officedocument.spreadsheetml.pivotTable+xml"/>
  <Override PartName="/xl/tables/table3.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PAVANI\0_90 Day Data Analyst\"/>
    </mc:Choice>
  </mc:AlternateContent>
  <xr:revisionPtr revIDLastSave="0" documentId="13_ncr:1_{831AC36F-C517-4E79-81B6-E03B644B5B80}" xr6:coauthVersionLast="47" xr6:coauthVersionMax="47" xr10:uidLastSave="{00000000-0000-0000-0000-000000000000}"/>
  <bookViews>
    <workbookView xWindow="-110" yWindow="-110" windowWidth="19420" windowHeight="10300" firstSheet="1" activeTab="1" xr2:uid="{277D5BC1-235A-482F-AAAF-F698533295C2}"/>
  </bookViews>
  <sheets>
    <sheet name="Multi Table Pivot" sheetId="8" r:id="rId1"/>
    <sheet name="Fact_Orders" sheetId="1" r:id="rId2"/>
    <sheet name="Dim_Customers" sheetId="2" r:id="rId3"/>
    <sheet name="Dim_Products" sheetId="3" r:id="rId4"/>
    <sheet name="Sheet2" sheetId="10" r:id="rId5"/>
    <sheet name="Retention" sheetId="9" r:id="rId6"/>
  </sheets>
  <definedNames>
    <definedName name="_xlcn.WorksheetConnection_Day_05_Worksheet.xlsxDim_Customers1" hidden="1">Dim_Customers[]</definedName>
    <definedName name="_xlcn.WorksheetConnection_Day_05_Worksheet.xlsxDim_Products1" hidden="1">Dim_Products[]</definedName>
    <definedName name="_xlcn.WorksheetConnection_Day_05_Worksheet.xlsxFact_Orders1" hidden="1">Fact_Orders[]</definedName>
    <definedName name="Slicer_Customer_Segment">#N/A</definedName>
    <definedName name="Timeline_Order_Date">#N/A</definedName>
  </definedNames>
  <calcPr calcId="191029"/>
  <pivotCaches>
    <pivotCache cacheId="0" r:id="rId7"/>
    <pivotCache cacheId="366" r:id="rId8"/>
    <pivotCache cacheId="367" r:id="rId9"/>
    <pivotCache cacheId="368" r:id="rId10"/>
    <pivotCache cacheId="428" r:id="rId11"/>
    <pivotCache cacheId="431" r:id="rId12"/>
    <pivotCache cacheId="434" r:id="rId13"/>
    <pivotCache cacheId="437" r:id="rId14"/>
    <pivotCache cacheId="440" r:id="rId15"/>
  </pivotCaches>
  <extLst>
    <ext xmlns:x14="http://schemas.microsoft.com/office/spreadsheetml/2009/9/main" uri="{876F7934-8845-4945-9796-88D515C7AA90}">
      <x14:pivotCaches>
        <pivotCache cacheId="32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30"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Day_05_Worksheet.xlsx!Dim_Products"/>
          <x15:modelTable id="Table3" name="Table3" connection="WorksheetConnection_Day_05_Worksheet.xlsx!Dim_Customers"/>
          <x15:modelTable id="Table2" name="Table2" connection="WorksheetConnection_Day_05_Worksheet.xlsx!Fact_Orders"/>
        </x15:modelTables>
        <x15:modelRelationships>
          <x15:modelRelationship fromTable="Table2" fromColumn="Customer_ID" toTable="Table3" toColumn="Customer_ID"/>
          <x15:modelRelationship fromTable="Table2" fromColumn="Product_ID" toTable="Table4" toColumn="Product_ID"/>
        </x15:modelRelationships>
        <x15:extLst>
          <ext xmlns:x16="http://schemas.microsoft.com/office/spreadsheetml/2014/11/main" uri="{9835A34E-60A6-4A7C-AAB8-D5F71C897F49}">
            <x16:modelTimeGroupings>
              <x16:modelTimeGrouping tableName="Table2"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L3" i="1" l="1"/>
  <c r="L4" i="1"/>
  <c r="L2" i="1"/>
  <c r="K3" i="1"/>
  <c r="K4"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120AAE-F488-45F1-80CA-BF5204D1E5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8CD60E9-1AB8-4AE2-B2FC-67A3F4FEC61D}" name="WorksheetConnection_Day_05_Worksheet.xlsx!Dim_Customers" type="102" refreshedVersion="8" minRefreshableVersion="5" saveData="1">
    <extLst>
      <ext xmlns:x15="http://schemas.microsoft.com/office/spreadsheetml/2010/11/main" uri="{DE250136-89BD-433C-8126-D09CA5730AF9}">
        <x15:connection id="Table3" autoDelete="1">
          <x15:rangePr sourceName="_xlcn.WorksheetConnection_Day_05_Worksheet.xlsxDim_Customers1"/>
        </x15:connection>
      </ext>
    </extLst>
  </connection>
  <connection id="3" xr16:uid="{D91369EC-D4D9-428B-9E84-56E6F51D98CB}" name="WorksheetConnection_Day_05_Worksheet.xlsx!Dim_Products" type="102" refreshedVersion="8" minRefreshableVersion="5" saveData="1">
    <extLst>
      <ext xmlns:x15="http://schemas.microsoft.com/office/spreadsheetml/2010/11/main" uri="{DE250136-89BD-433C-8126-D09CA5730AF9}">
        <x15:connection id="Table4" autoDelete="1">
          <x15:rangePr sourceName="_xlcn.WorksheetConnection_Day_05_Worksheet.xlsxDim_Products1"/>
        </x15:connection>
      </ext>
    </extLst>
  </connection>
  <connection id="4" xr16:uid="{E2C3B0B0-AA6B-46E9-AF16-55F2D3A22E43}" name="WorksheetConnection_Day_05_Worksheet.xlsx!Fact_Orders" type="102" refreshedVersion="8" minRefreshableVersion="5" saveData="1">
    <extLst>
      <ext xmlns:x15="http://schemas.microsoft.com/office/spreadsheetml/2010/11/main" uri="{DE250136-89BD-433C-8126-D09CA5730AF9}">
        <x15:connection id="Table2" autoDelete="1">
          <x15:rangePr sourceName="_xlcn.WorksheetConnection_Day_05_Worksheet.xlsxFact_Orders1"/>
        </x15:connection>
      </ext>
    </extLst>
  </connection>
</connections>
</file>

<file path=xl/sharedStrings.xml><?xml version="1.0" encoding="utf-8"?>
<sst xmlns="http://schemas.openxmlformats.org/spreadsheetml/2006/main" count="140" uniqueCount="67">
  <si>
    <t>Order_ID</t>
  </si>
  <si>
    <t>Customer_ID</t>
  </si>
  <si>
    <t>Product_ID</t>
  </si>
  <si>
    <t>Order_Date</t>
  </si>
  <si>
    <t>Units_Sold</t>
  </si>
  <si>
    <t>Sales_Amount</t>
  </si>
  <si>
    <t>ORD-901</t>
  </si>
  <si>
    <t>CUST-01</t>
  </si>
  <si>
    <t>PROD-A</t>
  </si>
  <si>
    <t>ORD-902</t>
  </si>
  <si>
    <t>CUST-02</t>
  </si>
  <si>
    <t>PROD-B</t>
  </si>
  <si>
    <t>ORD-903</t>
  </si>
  <si>
    <t>PROD-C</t>
  </si>
  <si>
    <t>ORD-904</t>
  </si>
  <si>
    <t>CUST-03</t>
  </si>
  <si>
    <t>ORD-905</t>
  </si>
  <si>
    <t>CUST-04</t>
  </si>
  <si>
    <t>ORD-906</t>
  </si>
  <si>
    <t>ORD-907</t>
  </si>
  <si>
    <t>CUST-05</t>
  </si>
  <si>
    <t>ORD-908</t>
  </si>
  <si>
    <t>Customer_Name</t>
  </si>
  <si>
    <t>Region</t>
  </si>
  <si>
    <t>Customer_Segment</t>
  </si>
  <si>
    <t>Sign_Up_Quarter</t>
  </si>
  <si>
    <t>Alpha Tech</t>
  </si>
  <si>
    <t>North</t>
  </si>
  <si>
    <t>Enterprise</t>
  </si>
  <si>
    <t>Q1-2026</t>
  </si>
  <si>
    <t>Beta Logistics</t>
  </si>
  <si>
    <t>South</t>
  </si>
  <si>
    <t>SMB</t>
  </si>
  <si>
    <t>Gamma Solutions</t>
  </si>
  <si>
    <t>East</t>
  </si>
  <si>
    <t>Q2-2026</t>
  </si>
  <si>
    <t>Delta Retail</t>
  </si>
  <si>
    <t>West</t>
  </si>
  <si>
    <t>Retail</t>
  </si>
  <si>
    <t>Epsilon Corp</t>
  </si>
  <si>
    <t>Q3-2026</t>
  </si>
  <si>
    <t>Product_Name</t>
  </si>
  <si>
    <t>Category</t>
  </si>
  <si>
    <t>Unit_Cost</t>
  </si>
  <si>
    <t>Cloud Analytics Engine</t>
  </si>
  <si>
    <t>Software</t>
  </si>
  <si>
    <t>BI Dashboard Connector</t>
  </si>
  <si>
    <t>Data Pipeline Agent</t>
  </si>
  <si>
    <t>Services</t>
  </si>
  <si>
    <t>Column Labels</t>
  </si>
  <si>
    <t>Grand Total</t>
  </si>
  <si>
    <t>Jul</t>
  </si>
  <si>
    <t>Aug</t>
  </si>
  <si>
    <t>Sep</t>
  </si>
  <si>
    <t>Row Labels</t>
  </si>
  <si>
    <t>Sum of Sales_Amount</t>
  </si>
  <si>
    <t>%Column Total</t>
  </si>
  <si>
    <t>%of Total</t>
  </si>
  <si>
    <t>Estimated_Gross_Profit</t>
  </si>
  <si>
    <t>Distinct Count of Customer_ID</t>
  </si>
  <si>
    <r>
      <t>Analytical Outcome:</t>
    </r>
    <r>
      <rPr>
        <sz val="11"/>
        <color theme="1"/>
        <rFont val="Calibri"/>
        <family val="2"/>
        <scheme val="minor"/>
      </rPr>
      <t xml:space="preserve"> This matrix reveals how many customers acquired in Q1, Q2, and Q3 returned to make purchases across July, August, and September.</t>
    </r>
  </si>
  <si>
    <t>Active_July_Customers</t>
  </si>
  <si>
    <t>August_Churn_Rate</t>
  </si>
  <si>
    <t>Retained_August_Customers</t>
  </si>
  <si>
    <t>Churn Rate= (July Active - August Active)/July Active</t>
  </si>
  <si>
    <t>Sum of Total_Cost</t>
  </si>
  <si>
    <t>Sum of Gross_Margin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</si>
</sst>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0%;\-0.00%;0.00%"/>
    <numFmt numFmtId="169" formatCode="&quot;₹&quot;\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8">
    <xf numFmtId="0" fontId="0" fillId="0" borderId="0" xfId="0"/>
    <xf numFmtId="14" fontId="0" fillId="0" borderId="0" xfId="0" applyNumberFormat="1"/>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168" fontId="0" fillId="0" borderId="0" xfId="0" applyNumberFormat="1"/>
    <xf numFmtId="169" fontId="0" fillId="0" borderId="0" xfId="0" applyNumberFormat="1"/>
  </cellXfs>
  <cellStyles count="1">
    <cellStyle name="Normal" xfId="0" builtinId="0"/>
  </cellStyles>
  <dxfs count="12">
    <dxf>
      <numFmt numFmtId="169" formatCode="&quot;₹&quot;\ #,##0.00"/>
    </dxf>
    <dxf>
      <numFmt numFmtId="169" formatCode="&quot;₹&quot;\ #,##0.00"/>
    </dxf>
    <dxf>
      <numFmt numFmtId="169" formatCode="&quot;₹&quot;\ #,##0.00"/>
    </dxf>
    <dxf>
      <numFmt numFmtId="169" formatCode="&quot;₹&quot;\ #,##0.00"/>
    </dxf>
    <dxf>
      <numFmt numFmtId="169" formatCode="&quot;₹&quot;\ #,##0.00"/>
    </dxf>
    <dxf>
      <numFmt numFmtId="169" formatCode="&quot;₹&quot;\ #,##0.00"/>
    </dxf>
    <dxf>
      <numFmt numFmtId="169" formatCode="&quot;₹&quot;\ #,##0.00"/>
    </dxf>
    <dxf>
      <numFmt numFmtId="169" formatCode="&quot;₹&quot;\ #,##0.0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9" formatCode="dd/mm/yy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4.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editAs="oneCell">
    <xdr:from>
      <xdr:col>4</xdr:col>
      <xdr:colOff>400050</xdr:colOff>
      <xdr:row>2</xdr:row>
      <xdr:rowOff>57151</xdr:rowOff>
    </xdr:from>
    <xdr:to>
      <xdr:col>7</xdr:col>
      <xdr:colOff>260350</xdr:colOff>
      <xdr:row>9</xdr:row>
      <xdr:rowOff>6351</xdr:rowOff>
    </xdr:to>
    <mc:AlternateContent xmlns:mc="http://schemas.openxmlformats.org/markup-compatibility/2006" xmlns:a14="http://schemas.microsoft.com/office/drawing/2010/main">
      <mc:Choice Requires="a14">
        <xdr:graphicFrame macro="">
          <xdr:nvGraphicFramePr>
            <xdr:cNvPr id="2" name="Customer_Segment">
              <a:extLst>
                <a:ext uri="{FF2B5EF4-FFF2-40B4-BE49-F238E27FC236}">
                  <a16:creationId xmlns:a16="http://schemas.microsoft.com/office/drawing/2014/main" id="{441FF3A8-1F75-E6E3-8DF9-FEAC88537664}"/>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5848350" y="425451"/>
              <a:ext cx="182880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444500</xdr:colOff>
      <xdr:row>2</xdr:row>
      <xdr:rowOff>69850</xdr:rowOff>
    </xdr:from>
    <xdr:to>
      <xdr:col>12</xdr:col>
      <xdr:colOff>342900</xdr:colOff>
      <xdr:row>11</xdr:row>
      <xdr:rowOff>25400</xdr:rowOff>
    </xdr:to>
    <mc:AlternateContent xmlns:mc="http://schemas.openxmlformats.org/markup-compatibility/2006" xmlns:tsle="http://schemas.microsoft.com/office/drawing/2012/timeslicer">
      <mc:Choice Requires="tsle">
        <xdr:graphicFrame macro="">
          <xdr:nvGraphicFramePr>
            <xdr:cNvPr id="3" name="Order_Date">
              <a:extLst>
                <a:ext uri="{FF2B5EF4-FFF2-40B4-BE49-F238E27FC236}">
                  <a16:creationId xmlns:a16="http://schemas.microsoft.com/office/drawing/2014/main" id="{A41F4CBF-D9D1-DD1F-B536-68309868986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7861300" y="438150"/>
              <a:ext cx="2946400" cy="1612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i Guntur" refreshedDate="46308.891319560185" createdVersion="8" refreshedVersion="8" minRefreshableVersion="3" recordCount="8" xr:uid="{C8973580-821F-4BE1-AE77-CF2870BC50A4}">
  <cacheSource type="worksheet">
    <worksheetSource ref="A1:F9" sheet="Fact_Orders"/>
  </cacheSource>
  <cacheFields count="8">
    <cacheField name="Order_ID" numFmtId="0">
      <sharedItems/>
    </cacheField>
    <cacheField name="Customer_ID" numFmtId="0">
      <sharedItems/>
    </cacheField>
    <cacheField name="Product_ID" numFmtId="0">
      <sharedItems/>
    </cacheField>
    <cacheField name="Order_Date" numFmtId="14">
      <sharedItems containsSemiMixedTypes="0" containsNonDate="0" containsDate="1" containsString="0" minDate="2026-07-01T00:00:00" maxDate="2026-09-19T00:00:00" count="8">
        <d v="2026-07-01T00:00:00"/>
        <d v="2026-07-03T00:00:00"/>
        <d v="2026-07-15T00:00:00"/>
        <d v="2026-08-02T00:00:00"/>
        <d v="2026-08-10T00:00:00"/>
        <d v="2026-08-22T00:00:00"/>
        <d v="2026-09-05T00:00:00"/>
        <d v="2026-09-18T00:00:00"/>
      </sharedItems>
      <fieldGroup par="7"/>
    </cacheField>
    <cacheField name="Units_Sold" numFmtId="0">
      <sharedItems containsSemiMixedTypes="0" containsString="0" containsNumber="1" containsInteger="1" minValue="1" maxValue="4"/>
    </cacheField>
    <cacheField name="Sales_Amount" numFmtId="0">
      <sharedItems containsSemiMixedTypes="0" containsString="0" containsNumber="1" containsInteger="1" minValue="300" maxValue="1800"/>
    </cacheField>
    <cacheField name="Days (Order_Date)" numFmtId="0" databaseField="0">
      <fieldGroup base="3">
        <rangePr groupBy="days" startDate="2026-07-01T00:00:00" endDate="2026-09-19T00:00:00"/>
        <groupItems count="368">
          <s v="&lt;01-07-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9-09-2026"/>
        </groupItems>
      </fieldGroup>
    </cacheField>
    <cacheField name="Months (Order_Date)" numFmtId="0" databaseField="0">
      <fieldGroup base="3">
        <rangePr groupBy="months" startDate="2026-07-01T00:00:00" endDate="2026-09-19T00:00:00"/>
        <groupItems count="14">
          <s v="&lt;01-07-2026"/>
          <s v="Jan"/>
          <s v="Feb"/>
          <s v="Mar"/>
          <s v="Apr"/>
          <s v="May"/>
          <s v="Jun"/>
          <s v="Jul"/>
          <s v="Aug"/>
          <s v="Sep"/>
          <s v="Oct"/>
          <s v="Nov"/>
          <s v="Dec"/>
          <s v="&gt;19-09-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09.655797569445" createdVersion="5" refreshedVersion="8" minRefreshableVersion="3" recordCount="0" supportSubquery="1" supportAdvancedDrill="1" xr:uid="{369DE042-8690-4D2B-88BF-B4FF9218D56D}">
  <cacheSource type="external" connectionId="1"/>
  <cacheFields count="3">
    <cacheField name="[Measures].[Active_July_Customers]" caption="Active_July_Customers" numFmtId="0" hierarchy="22" level="32767"/>
    <cacheField name="[Measures].[August_Churn_Rate]" caption="August_Churn_Rate" numFmtId="0" hierarchy="21" level="32767"/>
    <cacheField name="[Measures].[Retained_August_Customers]" caption="Retained_August_Customers" numFmtId="0" hierarchy="20" level="32767"/>
  </cacheFields>
  <cacheHierarchies count="32">
    <cacheHierarchy uniqueName="[Table2].[Order_ID]" caption="Order_ID" attribute="1" defaultMemberUniqueName="[Table2].[Order_ID].[All]" allUniqueName="[Table2].[Order_ID].[All]" dimensionUniqueName="[Table2]" displayFolder="" count="0" memberValueDatatype="130" unbalanced="0"/>
    <cacheHierarchy uniqueName="[Table2].[Customer_ID]" caption="Customer_ID" attribute="1" defaultMemberUniqueName="[Table2].[Customer_ID].[All]" allUniqueName="[Table2].[Customer_ID].[All]" dimensionUniqueName="[Table2]"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0" memberValueDatatype="7" unbalanced="0"/>
    <cacheHierarchy uniqueName="[Table2].[Units_Sold]" caption="Units_Sold" attribute="1" defaultMemberUniqueName="[Table2].[Units_Sold].[All]" allUniqueName="[Table2].[Units_Sold].[All]" dimensionUniqueName="[Table2]" displayFolder="" count="0" memberValueDatatype="20" unbalanced="0"/>
    <cacheHierarchy uniqueName="[Table2].[Sales_Amount]" caption="Sales_Amount" attribute="1" defaultMemberUniqueName="[Table2].[Sales_Amount].[All]" allUniqueName="[Table2].[Sales_Amount].[All]" dimensionUniqueName="[Table2]" displayFolder="" count="0" memberValueDatatype="20" unbalanced="0"/>
    <cacheHierarchy uniqueName="[Table2].[Total]" caption="Total" attribute="1" defaultMemberUniqueName="[Table2].[Total].[All]" allUniqueName="[Table2].[Total].[All]" dimensionUniqueName="[Table2]" displayFolder="" count="0" memberValueDatatype="2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Total_Cost]" caption="Total_Cost" attribute="1" defaultMemberUniqueName="[Table2].[Total_Cost].[All]" allUniqueName="[Table2].[Total_Cost].[All]" dimensionUniqueName="[Table2]" displayFolder="" count="0" memberValueDatatype="20" unbalanced="0"/>
    <cacheHierarchy uniqueName="[Table2].[Gross_Margin]" caption="Gross_Margin" attribute="1" defaultMemberUniqueName="[Table2].[Gross_Margin].[All]" allUniqueName="[Table2].[Gross_Margin].[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Sign_Up_Quarter]" caption="Sign_Up_Quarter" attribute="1" defaultMemberUniqueName="[Table3].[Sign_Up_Quarter].[All]" allUniqueName="[Table3].[Sign_Up_Quarter].[All]" dimensionUniqueName="[Table3]"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Unit_Cost]" caption="Unit_Cost" attribute="1" defaultMemberUniqueName="[Table4].[Unit_Cost].[All]" allUniqueName="[Table4].[Unit_Cost].[All]" dimensionUniqueName="[Table4]" displayFolder="" count="0" memberValueDatatype="2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Retained_August_Customers]" caption="Retained_August_Customers" measure="1" displayFolder="" measureGroup="Table2" count="0" oneField="1">
      <fieldsUsage count="1">
        <fieldUsage x="2"/>
      </fieldsUsage>
    </cacheHierarchy>
    <cacheHierarchy uniqueName="[Measures].[August_Churn_Rate]" caption="August_Churn_Rate" measure="1" displayFolder="" measureGroup="Table2" count="0" oneField="1">
      <fieldsUsage count="1">
        <fieldUsage x="1"/>
      </fieldsUsage>
    </cacheHierarchy>
    <cacheHierarchy uniqueName="[Measures].[Active_July_Customers]" caption="Active_July_Customers" measure="1" displayFolder="" measureGroup="Table2" count="0" oneField="1">
      <fieldsUsage count="1">
        <fieldUsage x="0"/>
      </fieldsUsage>
    </cacheHierarchy>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_Amount]" caption="Sum of Sales_Amount" measure="1" displayFolder="" measureGroup="Table2" count="0" hidden="1">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Table2" count="0" hidden="1">
      <extLst>
        <ext xmlns:x15="http://schemas.microsoft.com/office/spreadsheetml/2010/11/main" uri="{B97F6D7D-B522-45F9-BDA1-12C45D357490}">
          <x15:cacheHierarchy aggregatedColumn="8"/>
        </ext>
      </extLst>
    </cacheHierarchy>
    <cacheHierarchy uniqueName="[Measures].[Sum of Gross_Margin]" caption="Sum of Gross_Margin" measure="1" displayFolder="" measureGroup="Table2"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Table2" uniqueName="[Table2]" caption="Table2"/>
    <dimension name="Table3" uniqueName="[Table3]" caption="Table3"/>
    <dimension name="Table4" uniqueName="[Table4]" caption="Table4"/>
  </dimensions>
  <measureGroups count="3">
    <measureGroup name="Table2" caption="Table2"/>
    <measureGroup name="Table3" caption="Table3"/>
    <measureGroup name="Table4" caption="Table4"/>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09.65579675926" backgroundQuery="1" createdVersion="8" refreshedVersion="8" minRefreshableVersion="3" recordCount="0" supportSubquery="1" supportAdvancedDrill="1" xr:uid="{A362A2D9-2908-4A9D-9ACD-A42D01012D65}">
  <cacheSource type="external" connectionId="1"/>
  <cacheFields count="4">
    <cacheField name="[Table3].[Customer_ID].[Customer_ID]" caption="Customer_ID" numFmtId="0" hierarchy="10" level="1">
      <sharedItems count="4">
        <s v="CUST-01"/>
        <s v="CUST-02"/>
        <s v="CUST-03"/>
        <s v="CUST-04"/>
      </sharedItems>
    </cacheField>
    <cacheField name="[Table2].[Order_Date].[Order_Date]" caption="Order_Date" numFmtId="0" hierarchy="3" level="1">
      <sharedItems containsSemiMixedTypes="0" containsNonDate="0" containsDate="1" containsString="0" minDate="2026-07-01T00:00:00" maxDate="2026-07-16T00:00:00" count="3">
        <d v="2026-07-01T00:00:00"/>
        <d v="2026-07-03T00:00:00"/>
        <d v="2026-07-15T00:00:00"/>
      </sharedItems>
    </cacheField>
    <cacheField name="[Table2].[Order_Date (Month)].[Order_Date (Month)]" caption="Order_Date (Month)" numFmtId="0" hierarchy="7" level="1">
      <sharedItems count="2">
        <s v="Jul"/>
        <s v="Aug"/>
      </sharedItems>
    </cacheField>
    <cacheField name="[Measures].[Sum of Sales_Amount]" caption="Sum of Sales_Amount" numFmtId="0" hierarchy="27" level="32767"/>
  </cacheFields>
  <cacheHierarchies count="32">
    <cacheHierarchy uniqueName="[Table2].[Order_ID]" caption="Order_ID" attribute="1" defaultMemberUniqueName="[Table2].[Order_ID].[All]" allUniqueName="[Table2].[Order_ID].[All]" dimensionUniqueName="[Table2]" displayFolder="" count="0" memberValueDatatype="130" unbalanced="0"/>
    <cacheHierarchy uniqueName="[Table2].[Customer_ID]" caption="Customer_ID" attribute="1" defaultMemberUniqueName="[Table2].[Customer_ID].[All]" allUniqueName="[Table2].[Customer_ID].[All]" dimensionUniqueName="[Table2]"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2" memberValueDatatype="7" unbalanced="0">
      <fieldsUsage count="2">
        <fieldUsage x="-1"/>
        <fieldUsage x="1"/>
      </fieldsUsage>
    </cacheHierarchy>
    <cacheHierarchy uniqueName="[Table2].[Units_Sold]" caption="Units_Sold" attribute="1" defaultMemberUniqueName="[Table2].[Units_Sold].[All]" allUniqueName="[Table2].[Units_Sold].[All]" dimensionUniqueName="[Table2]" displayFolder="" count="0" memberValueDatatype="20" unbalanced="0"/>
    <cacheHierarchy uniqueName="[Table2].[Sales_Amount]" caption="Sales_Amount" attribute="1" defaultMemberUniqueName="[Table2].[Sales_Amount].[All]" allUniqueName="[Table2].[Sales_Amount].[All]" dimensionUniqueName="[Table2]" displayFolder="" count="0" memberValueDatatype="20" unbalanced="0"/>
    <cacheHierarchy uniqueName="[Table2].[Total]" caption="Total" attribute="1" defaultMemberUniqueName="[Table2].[Total].[All]" allUniqueName="[Table2].[Total].[All]" dimensionUniqueName="[Table2]" displayFolder="" count="0" memberValueDatatype="20" unbalanced="0"/>
    <cacheHierarchy uniqueName="[Table2].[Order_Date (Month)]" caption="Order_Date (Month)" attribute="1" defaultMemberUniqueName="[Table2].[Order_Date (Month)].[All]" allUniqueName="[Table2].[Order_Date (Month)].[All]" dimensionUniqueName="[Table2]" displayFolder="" count="2" memberValueDatatype="130" unbalanced="0">
      <fieldsUsage count="2">
        <fieldUsage x="-1"/>
        <fieldUsage x="2"/>
      </fieldsUsage>
    </cacheHierarchy>
    <cacheHierarchy uniqueName="[Table2].[Total_Cost]" caption="Total_Cost" attribute="1" defaultMemberUniqueName="[Table2].[Total_Cost].[All]" allUniqueName="[Table2].[Total_Cost].[All]" dimensionUniqueName="[Table2]" displayFolder="" count="0" memberValueDatatype="20" unbalanced="0"/>
    <cacheHierarchy uniqueName="[Table2].[Gross_Margin]" caption="Gross_Margin" attribute="1" defaultMemberUniqueName="[Table2].[Gross_Margin].[All]" allUniqueName="[Table2].[Gross_Margin].[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2" memberValueDatatype="130" unbalanced="0">
      <fieldsUsage count="2">
        <fieldUsage x="-1"/>
        <fieldUsage x="0"/>
      </fieldsUsage>
    </cacheHierarchy>
    <cacheHierarchy uniqueName="[Table3].[Customer_Name]" caption="Customer_Name" attribute="1" defaultMemberUniqueName="[Table3].[Customer_Name].[All]" allUniqueName="[Table3].[Customer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Sign_Up_Quarter]" caption="Sign_Up_Quarter" attribute="1" defaultMemberUniqueName="[Table3].[Sign_Up_Quarter].[All]" allUniqueName="[Table3].[Sign_Up_Quarter].[All]" dimensionUniqueName="[Table3]"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Unit_Cost]" caption="Unit_Cost" attribute="1" defaultMemberUniqueName="[Table4].[Unit_Cost].[All]" allUniqueName="[Table4].[Unit_Cost].[All]" dimensionUniqueName="[Table4]" displayFolder="" count="0" memberValueDatatype="2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Retained_August_Customers]" caption="Retained_August_Customers" measure="1" displayFolder="" measureGroup="Table2" count="0"/>
    <cacheHierarchy uniqueName="[Measures].[August_Churn_Rate]" caption="August_Churn_Rate" measure="1" displayFolder="" measureGroup="Table2" count="0"/>
    <cacheHierarchy uniqueName="[Measures].[Active_July_Customers]" caption="Active_July_Customers" measure="1" displayFolder="" measureGroup="Table2" count="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_Amount]" caption="Sum of Sales_Amount" measure="1" displayFolder="" measureGroup="Table2"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Table2" count="0" hidden="1">
      <extLst>
        <ext xmlns:x15="http://schemas.microsoft.com/office/spreadsheetml/2010/11/main" uri="{B97F6D7D-B522-45F9-BDA1-12C45D357490}">
          <x15:cacheHierarchy aggregatedColumn="8"/>
        </ext>
      </extLst>
    </cacheHierarchy>
    <cacheHierarchy uniqueName="[Measures].[Sum of Gross_Margin]" caption="Sum of Gross_Margin" measure="1" displayFolder="" measureGroup="Table2"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Table2" uniqueName="[Table2]" caption="Table2"/>
    <dimension name="Table3" uniqueName="[Table3]" caption="Table3"/>
    <dimension name="Table4" uniqueName="[Table4]" caption="Table4"/>
  </dimensions>
  <measureGroups count="3">
    <measureGroup name="Table2" caption="Table2"/>
    <measureGroup name="Table3" caption="Table3"/>
    <measureGroup name="Table4" caption="Table4"/>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09.655794444443" backgroundQuery="1" createdVersion="8" refreshedVersion="8" minRefreshableVersion="3" recordCount="0" supportSubquery="1" supportAdvancedDrill="1" xr:uid="{CD53DBD4-362B-4D5C-A002-71BEC40E938E}">
  <cacheSource type="external" connectionId="1"/>
  <cacheFields count="3">
    <cacheField name="[Table3].[Sign_Up_Quarter].[Sign_Up_Quarter]" caption="Sign_Up_Quarter" numFmtId="0" hierarchy="14" level="1">
      <sharedItems count="3">
        <s v="Q1-2026"/>
        <s v="Q2-2026"/>
        <s v="Q3-2026"/>
      </sharedItems>
    </cacheField>
    <cacheField name="[Measures].[Distinct Count of Customer_ID]" caption="Distinct Count of Customer_ID" numFmtId="0" hierarchy="29" level="32767"/>
    <cacheField name="[Table2].[Order_Date (Month)].[Order_Date (Month)]" caption="Order_Date (Month)" numFmtId="0" hierarchy="7" level="1">
      <sharedItems count="3">
        <s v="Jul"/>
        <s v="Aug"/>
        <s v="Sep"/>
      </sharedItems>
    </cacheField>
  </cacheFields>
  <cacheHierarchies count="32">
    <cacheHierarchy uniqueName="[Table2].[Order_ID]" caption="Order_ID" attribute="1" defaultMemberUniqueName="[Table2].[Order_ID].[All]" allUniqueName="[Table2].[Order_ID].[All]" dimensionUniqueName="[Table2]" displayFolder="" count="0" memberValueDatatype="130" unbalanced="0"/>
    <cacheHierarchy uniqueName="[Table2].[Customer_ID]" caption="Customer_ID" attribute="1" defaultMemberUniqueName="[Table2].[Customer_ID].[All]" allUniqueName="[Table2].[Customer_ID].[All]" dimensionUniqueName="[Table2]"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0" memberValueDatatype="7" unbalanced="0"/>
    <cacheHierarchy uniqueName="[Table2].[Units_Sold]" caption="Units_Sold" attribute="1" defaultMemberUniqueName="[Table2].[Units_Sold].[All]" allUniqueName="[Table2].[Units_Sold].[All]" dimensionUniqueName="[Table2]" displayFolder="" count="0" memberValueDatatype="20" unbalanced="0"/>
    <cacheHierarchy uniqueName="[Table2].[Sales_Amount]" caption="Sales_Amount" attribute="1" defaultMemberUniqueName="[Table2].[Sales_Amount].[All]" allUniqueName="[Table2].[Sales_Amount].[All]" dimensionUniqueName="[Table2]" displayFolder="" count="0" memberValueDatatype="20" unbalanced="0"/>
    <cacheHierarchy uniqueName="[Table2].[Total]" caption="Total" attribute="1" defaultMemberUniqueName="[Table2].[Total].[All]" allUniqueName="[Table2].[Total].[All]" dimensionUniqueName="[Table2]" displayFolder="" count="0" memberValueDatatype="20" unbalanced="0"/>
    <cacheHierarchy uniqueName="[Table2].[Order_Date (Month)]" caption="Order_Date (Month)" attribute="1" defaultMemberUniqueName="[Table2].[Order_Date (Month)].[All]" allUniqueName="[Table2].[Order_Date (Month)].[All]" dimensionUniqueName="[Table2]" displayFolder="" count="2" memberValueDatatype="130" unbalanced="0">
      <fieldsUsage count="2">
        <fieldUsage x="-1"/>
        <fieldUsage x="2"/>
      </fieldsUsage>
    </cacheHierarchy>
    <cacheHierarchy uniqueName="[Table2].[Total_Cost]" caption="Total_Cost" attribute="1" defaultMemberUniqueName="[Table2].[Total_Cost].[All]" allUniqueName="[Table2].[Total_Cost].[All]" dimensionUniqueName="[Table2]" displayFolder="" count="0" memberValueDatatype="20" unbalanced="0"/>
    <cacheHierarchy uniqueName="[Table2].[Gross_Margin]" caption="Gross_Margin" attribute="1" defaultMemberUniqueName="[Table2].[Gross_Margin].[All]" allUniqueName="[Table2].[Gross_Margin].[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Sign_Up_Quarter]" caption="Sign_Up_Quarter" attribute="1" defaultMemberUniqueName="[Table3].[Sign_Up_Quarter].[All]" allUniqueName="[Table3].[Sign_Up_Quarter].[All]" dimensionUniqueName="[Table3]" displayFolder="" count="2" memberValueDatatype="130" unbalanced="0">
      <fieldsUsage count="2">
        <fieldUsage x="-1"/>
        <fieldUsage x="0"/>
      </fieldsUsage>
    </cacheHierarchy>
    <cacheHierarchy uniqueName="[Table4].[Product_ID]" caption="Product_ID" attribute="1" defaultMemberUniqueName="[Table4].[Product_ID].[All]" allUniqueName="[Table4].[Product_ID].[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Unit_Cost]" caption="Unit_Cost" attribute="1" defaultMemberUniqueName="[Table4].[Unit_Cost].[All]" allUniqueName="[Table4].[Unit_Cost].[All]" dimensionUniqueName="[Table4]" displayFolder="" count="0" memberValueDatatype="2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Retained_August_Customers]" caption="Retained_August_Customers" measure="1" displayFolder="" measureGroup="Table2" count="0"/>
    <cacheHierarchy uniqueName="[Measures].[August_Churn_Rate]" caption="August_Churn_Rate" measure="1" displayFolder="" measureGroup="Table2" count="0"/>
    <cacheHierarchy uniqueName="[Measures].[Active_July_Customers]" caption="Active_July_Customers" measure="1" displayFolder="" measureGroup="Table2" count="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_Amount]" caption="Sum of Sales_Amount" measure="1" displayFolder="" measureGroup="Table2" count="0" hidden="1">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Table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Table2" count="0" hidden="1">
      <extLst>
        <ext xmlns:x15="http://schemas.microsoft.com/office/spreadsheetml/2010/11/main" uri="{B97F6D7D-B522-45F9-BDA1-12C45D357490}">
          <x15:cacheHierarchy aggregatedColumn="8"/>
        </ext>
      </extLst>
    </cacheHierarchy>
    <cacheHierarchy uniqueName="[Measures].[Sum of Gross_Margin]" caption="Sum of Gross_Margin" measure="1" displayFolder="" measureGroup="Table2"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Table2" uniqueName="[Table2]" caption="Table2"/>
    <dimension name="Table3" uniqueName="[Table3]" caption="Table3"/>
    <dimension name="Table4" uniqueName="[Table4]" caption="Table4"/>
  </dimensions>
  <measureGroups count="3">
    <measureGroup name="Table2" caption="Table2"/>
    <measureGroup name="Table3" caption="Table3"/>
    <measureGroup name="Table4" caption="Table4"/>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09.658671296296" backgroundQuery="1" createdVersion="8" refreshedVersion="8" minRefreshableVersion="3" recordCount="0" supportSubquery="1" supportAdvancedDrill="1" xr:uid="{9456D515-7EFF-4574-94C1-86A523519AB1}">
  <cacheSource type="external" connectionId="1"/>
  <cacheFields count="4">
    <cacheField name="[Measures].[Sum of Sales_Amount]" caption="Sum of Sales_Amount" numFmtId="0" hierarchy="27" level="32767"/>
    <cacheField name="[Table3].[Region].[Region]" caption="Region" numFmtId="0" hierarchy="12" level="1">
      <sharedItems count="4">
        <s v="East"/>
        <s v="North"/>
        <s v="South"/>
        <s v="West"/>
      </sharedItems>
    </cacheField>
    <cacheField name="[Table4].[Category].[Category]" caption="Category" numFmtId="0" hierarchy="17" level="1">
      <sharedItems count="2">
        <s v="Services"/>
        <s v="Software"/>
      </sharedItems>
    </cacheField>
    <cacheField name="[Table3].[Customer_Segment].[Customer_Segment]" caption="Customer_Segment" numFmtId="0" hierarchy="13" level="1">
      <sharedItems containsSemiMixedTypes="0" containsNonDate="0" containsString="0"/>
    </cacheField>
  </cacheFields>
  <cacheHierarchies count="32">
    <cacheHierarchy uniqueName="[Table2].[Order_ID]" caption="Order_ID" attribute="1" defaultMemberUniqueName="[Table2].[Order_ID].[All]" allUniqueName="[Table2].[Order_ID].[All]" dimensionUniqueName="[Table2]" displayFolder="" count="0" memberValueDatatype="130" unbalanced="0"/>
    <cacheHierarchy uniqueName="[Table2].[Customer_ID]" caption="Customer_ID" attribute="1" defaultMemberUniqueName="[Table2].[Customer_ID].[All]" allUniqueName="[Table2].[Customer_ID].[All]" dimensionUniqueName="[Table2]"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2" memberValueDatatype="7" unbalanced="0"/>
    <cacheHierarchy uniqueName="[Table2].[Units_Sold]" caption="Units_Sold" attribute="1" defaultMemberUniqueName="[Table2].[Units_Sold].[All]" allUniqueName="[Table2].[Units_Sold].[All]" dimensionUniqueName="[Table2]" displayFolder="" count="0" memberValueDatatype="20" unbalanced="0"/>
    <cacheHierarchy uniqueName="[Table2].[Sales_Amount]" caption="Sales_Amount" attribute="1" defaultMemberUniqueName="[Table2].[Sales_Amount].[All]" allUniqueName="[Table2].[Sales_Amount].[All]" dimensionUniqueName="[Table2]" displayFolder="" count="0" memberValueDatatype="20" unbalanced="0"/>
    <cacheHierarchy uniqueName="[Table2].[Total]" caption="Total" attribute="1" defaultMemberUniqueName="[Table2].[Total].[All]" allUniqueName="[Table2].[Total].[All]" dimensionUniqueName="[Table2]" displayFolder="" count="0" memberValueDatatype="2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Total_Cost]" caption="Total_Cost" attribute="1" defaultMemberUniqueName="[Table2].[Total_Cost].[All]" allUniqueName="[Table2].[Total_Cost].[All]" dimensionUniqueName="[Table2]" displayFolder="" count="0" memberValueDatatype="20" unbalanced="0"/>
    <cacheHierarchy uniqueName="[Table2].[Gross_Margin]" caption="Gross_Margin" attribute="1" defaultMemberUniqueName="[Table2].[Gross_Margin].[All]" allUniqueName="[Table2].[Gross_Margin].[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fieldsUsage count="2">
        <fieldUsage x="-1"/>
        <fieldUsage x="1"/>
      </fieldsUsage>
    </cacheHierarchy>
    <cacheHierarchy uniqueName="[Table3].[Customer_Segment]" caption="Customer_Segment" attribute="1" defaultMemberUniqueName="[Table3].[Customer_Segment].[All]" allUniqueName="[Table3].[Customer_Segment].[All]" dimensionUniqueName="[Table3]" displayFolder="" count="2" memberValueDatatype="130" unbalanced="0">
      <fieldsUsage count="2">
        <fieldUsage x="-1"/>
        <fieldUsage x="3"/>
      </fieldsUsage>
    </cacheHierarchy>
    <cacheHierarchy uniqueName="[Table3].[Sign_Up_Quarter]" caption="Sign_Up_Quarter" attribute="1" defaultMemberUniqueName="[Table3].[Sign_Up_Quarter].[All]" allUniqueName="[Table3].[Sign_Up_Quarter].[All]" dimensionUniqueName="[Table3]"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2" memberValueDatatype="130" unbalanced="0">
      <fieldsUsage count="2">
        <fieldUsage x="-1"/>
        <fieldUsage x="2"/>
      </fieldsUsage>
    </cacheHierarchy>
    <cacheHierarchy uniqueName="[Table4].[Unit_Cost]" caption="Unit_Cost" attribute="1" defaultMemberUniqueName="[Table4].[Unit_Cost].[All]" allUniqueName="[Table4].[Unit_Cost].[All]" dimensionUniqueName="[Table4]" displayFolder="" count="0" memberValueDatatype="2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Retained_August_Customers]" caption="Retained_August_Customers" measure="1" displayFolder="" measureGroup="Table2" count="0"/>
    <cacheHierarchy uniqueName="[Measures].[August_Churn_Rate]" caption="August_Churn_Rate" measure="1" displayFolder="" measureGroup="Table2" count="0"/>
    <cacheHierarchy uniqueName="[Measures].[Active_July_Customers]" caption="Active_July_Customers" measure="1" displayFolder="" measureGroup="Table2" count="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_Amount]" caption="Sum of Sales_Amount" measure="1" displayFolder="" measureGroup="Table2"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Table2" count="0" hidden="1">
      <extLst>
        <ext xmlns:x15="http://schemas.microsoft.com/office/spreadsheetml/2010/11/main" uri="{B97F6D7D-B522-45F9-BDA1-12C45D357490}">
          <x15:cacheHierarchy aggregatedColumn="8"/>
        </ext>
      </extLst>
    </cacheHierarchy>
    <cacheHierarchy uniqueName="[Measures].[Sum of Gross_Margin]" caption="Sum of Gross_Margin" measure="1" displayFolder="" measureGroup="Table2"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Table2" uniqueName="[Table2]" caption="Table2"/>
    <dimension name="Table3" uniqueName="[Table3]" caption="Table3"/>
    <dimension name="Table4" uniqueName="[Table4]" caption="Table4"/>
  </dimensions>
  <measureGroups count="3">
    <measureGroup name="Table2" caption="Table2"/>
    <measureGroup name="Table3" caption="Table3"/>
    <measureGroup name="Table4" caption="Table4"/>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09.658671296296" backgroundQuery="1" createdVersion="8" refreshedVersion="8" minRefreshableVersion="3" recordCount="0" supportSubquery="1" supportAdvancedDrill="1" xr:uid="{EB9B9422-32E8-44B7-B292-5671C4738AD1}">
  <cacheSource type="external" connectionId="1"/>
  <cacheFields count="1">
    <cacheField name="[Table3].[Customer_Segment].[Customer_Segment]" caption="Customer_Segment" numFmtId="0" hierarchy="13" level="1">
      <sharedItems containsSemiMixedTypes="0" containsNonDate="0" containsString="0"/>
    </cacheField>
  </cacheFields>
  <cacheHierarchies count="32">
    <cacheHierarchy uniqueName="[Table2].[Order_ID]" caption="Order_ID" attribute="1" defaultMemberUniqueName="[Table2].[Order_ID].[All]" allUniqueName="[Table2].[Order_ID].[All]" dimensionUniqueName="[Table2]" displayFolder="" count="0" memberValueDatatype="130" unbalanced="0"/>
    <cacheHierarchy uniqueName="[Table2].[Customer_ID]" caption="Customer_ID" attribute="1" defaultMemberUniqueName="[Table2].[Customer_ID].[All]" allUniqueName="[Table2].[Customer_ID].[All]" dimensionUniqueName="[Table2]"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0" memberValueDatatype="7" unbalanced="0"/>
    <cacheHierarchy uniqueName="[Table2].[Units_Sold]" caption="Units_Sold" attribute="1" defaultMemberUniqueName="[Table2].[Units_Sold].[All]" allUniqueName="[Table2].[Units_Sold].[All]" dimensionUniqueName="[Table2]" displayFolder="" count="0" memberValueDatatype="20" unbalanced="0"/>
    <cacheHierarchy uniqueName="[Table2].[Sales_Amount]" caption="Sales_Amount" attribute="1" defaultMemberUniqueName="[Table2].[Sales_Amount].[All]" allUniqueName="[Table2].[Sales_Amount].[All]" dimensionUniqueName="[Table2]" displayFolder="" count="0" memberValueDatatype="20" unbalanced="0"/>
    <cacheHierarchy uniqueName="[Table2].[Total]" caption="Total" attribute="1" defaultMemberUniqueName="[Table2].[Total].[All]" allUniqueName="[Table2].[Total].[All]" dimensionUniqueName="[Table2]" displayFolder="" count="0" memberValueDatatype="2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Total_Cost]" caption="Total_Cost" attribute="1" defaultMemberUniqueName="[Table2].[Total_Cost].[All]" allUniqueName="[Table2].[Total_Cost].[All]" dimensionUniqueName="[Table2]" displayFolder="" count="0" memberValueDatatype="20" unbalanced="0"/>
    <cacheHierarchy uniqueName="[Table2].[Gross_Margin]" caption="Gross_Margin" attribute="1" defaultMemberUniqueName="[Table2].[Gross_Margin].[All]" allUniqueName="[Table2].[Gross_Margin].[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2" memberValueDatatype="130" unbalanced="0">
      <fieldsUsage count="2">
        <fieldUsage x="-1"/>
        <fieldUsage x="0"/>
      </fieldsUsage>
    </cacheHierarchy>
    <cacheHierarchy uniqueName="[Table3].[Sign_Up_Quarter]" caption="Sign_Up_Quarter" attribute="1" defaultMemberUniqueName="[Table3].[Sign_Up_Quarter].[All]" allUniqueName="[Table3].[Sign_Up_Quarter].[All]" dimensionUniqueName="[Table3]"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Unit_Cost]" caption="Unit_Cost" attribute="1" defaultMemberUniqueName="[Table4].[Unit_Cost].[All]" allUniqueName="[Table4].[Unit_Cost].[All]" dimensionUniqueName="[Table4]" displayFolder="" count="0" memberValueDatatype="2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Retained_August_Customers]" caption="Retained_August_Customers" measure="1" displayFolder="" measureGroup="Table2" count="0"/>
    <cacheHierarchy uniqueName="[Measures].[August_Churn_Rate]" caption="August_Churn_Rate" measure="1" displayFolder="" measureGroup="Table2" count="0"/>
    <cacheHierarchy uniqueName="[Measures].[Active_July_Customers]" caption="Active_July_Customers" measure="1" displayFolder="" measureGroup="Table2" count="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_Amount]" caption="Sum of Sales_Amount" measure="1" displayFolder="" measureGroup="Table2" count="0" hidden="1">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Table2" count="0" hidden="1">
      <extLst>
        <ext xmlns:x15="http://schemas.microsoft.com/office/spreadsheetml/2010/11/main" uri="{B97F6D7D-B522-45F9-BDA1-12C45D357490}">
          <x15:cacheHierarchy aggregatedColumn="8"/>
        </ext>
      </extLst>
    </cacheHierarchy>
    <cacheHierarchy uniqueName="[Measures].[Sum of Gross_Margin]" caption="Sum of Gross_Margin" measure="1" displayFolder="" measureGroup="Table2"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Table2" uniqueName="[Table2]" caption="Table2"/>
    <dimension name="Table3" uniqueName="[Table3]" caption="Table3"/>
    <dimension name="Table4" uniqueName="[Table4]" caption="Table4"/>
  </dimensions>
  <measureGroups count="3">
    <measureGroup name="Table2" caption="Table2"/>
    <measureGroup name="Table3" caption="Table3"/>
    <measureGroup name="Table4" caption="Table4"/>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09.658671296296" backgroundQuery="1" createdVersion="8" refreshedVersion="8" minRefreshableVersion="3" recordCount="0" supportSubquery="1" supportAdvancedDrill="1" xr:uid="{AFBA2018-84D7-4416-A323-38A7064FD1AE}">
  <cacheSource type="external" connectionId="1"/>
  <cacheFields count="1">
    <cacheField name="[Table3].[Customer_Segment].[Customer_Segment]" caption="Customer_Segment" numFmtId="0" hierarchy="13" level="1">
      <sharedItems containsSemiMixedTypes="0" containsNonDate="0" containsString="0"/>
    </cacheField>
  </cacheFields>
  <cacheHierarchies count="32">
    <cacheHierarchy uniqueName="[Table2].[Order_ID]" caption="Order_ID" attribute="1" defaultMemberUniqueName="[Table2].[Order_ID].[All]" allUniqueName="[Table2].[Order_ID].[All]" dimensionUniqueName="[Table2]" displayFolder="" count="0" memberValueDatatype="130" unbalanced="0"/>
    <cacheHierarchy uniqueName="[Table2].[Customer_ID]" caption="Customer_ID" attribute="1" defaultMemberUniqueName="[Table2].[Customer_ID].[All]" allUniqueName="[Table2].[Customer_ID].[All]" dimensionUniqueName="[Table2]"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0" memberValueDatatype="7" unbalanced="0"/>
    <cacheHierarchy uniqueName="[Table2].[Units_Sold]" caption="Units_Sold" attribute="1" defaultMemberUniqueName="[Table2].[Units_Sold].[All]" allUniqueName="[Table2].[Units_Sold].[All]" dimensionUniqueName="[Table2]" displayFolder="" count="0" memberValueDatatype="20" unbalanced="0"/>
    <cacheHierarchy uniqueName="[Table2].[Sales_Amount]" caption="Sales_Amount" attribute="1" defaultMemberUniqueName="[Table2].[Sales_Amount].[All]" allUniqueName="[Table2].[Sales_Amount].[All]" dimensionUniqueName="[Table2]" displayFolder="" count="0" memberValueDatatype="20" unbalanced="0"/>
    <cacheHierarchy uniqueName="[Table2].[Total]" caption="Total" attribute="1" defaultMemberUniqueName="[Table2].[Total].[All]" allUniqueName="[Table2].[Total].[All]" dimensionUniqueName="[Table2]" displayFolder="" count="0" memberValueDatatype="2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Total_Cost]" caption="Total_Cost" attribute="1" defaultMemberUniqueName="[Table2].[Total_Cost].[All]" allUniqueName="[Table2].[Total_Cost].[All]" dimensionUniqueName="[Table2]" displayFolder="" count="0" memberValueDatatype="20" unbalanced="0"/>
    <cacheHierarchy uniqueName="[Table2].[Gross_Margin]" caption="Gross_Margin" attribute="1" defaultMemberUniqueName="[Table2].[Gross_Margin].[All]" allUniqueName="[Table2].[Gross_Margin].[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2" memberValueDatatype="130" unbalanced="0">
      <fieldsUsage count="2">
        <fieldUsage x="-1"/>
        <fieldUsage x="0"/>
      </fieldsUsage>
    </cacheHierarchy>
    <cacheHierarchy uniqueName="[Table3].[Sign_Up_Quarter]" caption="Sign_Up_Quarter" attribute="1" defaultMemberUniqueName="[Table3].[Sign_Up_Quarter].[All]" allUniqueName="[Table3].[Sign_Up_Quarter].[All]" dimensionUniqueName="[Table3]"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Unit_Cost]" caption="Unit_Cost" attribute="1" defaultMemberUniqueName="[Table4].[Unit_Cost].[All]" allUniqueName="[Table4].[Unit_Cost].[All]" dimensionUniqueName="[Table4]" displayFolder="" count="0" memberValueDatatype="2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Retained_August_Customers]" caption="Retained_August_Customers" measure="1" displayFolder="" measureGroup="Table2" count="0"/>
    <cacheHierarchy uniqueName="[Measures].[August_Churn_Rate]" caption="August_Churn_Rate" measure="1" displayFolder="" measureGroup="Table2" count="0"/>
    <cacheHierarchy uniqueName="[Measures].[Active_July_Customers]" caption="Active_July_Customers" measure="1" displayFolder="" measureGroup="Table2" count="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_Amount]" caption="Sum of Sales_Amount" measure="1" displayFolder="" measureGroup="Table2" count="0" hidden="1">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Table2" count="0" hidden="1">
      <extLst>
        <ext xmlns:x15="http://schemas.microsoft.com/office/spreadsheetml/2010/11/main" uri="{B97F6D7D-B522-45F9-BDA1-12C45D357490}">
          <x15:cacheHierarchy aggregatedColumn="8"/>
        </ext>
      </extLst>
    </cacheHierarchy>
    <cacheHierarchy uniqueName="[Measures].[Sum of Gross_Margin]" caption="Sum of Gross_Margin" measure="1" displayFolder="" measureGroup="Table2"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Table2" uniqueName="[Table2]" caption="Table2"/>
    <dimension name="Table3" uniqueName="[Table3]" caption="Table3"/>
    <dimension name="Table4" uniqueName="[Table4]" caption="Table4"/>
  </dimensions>
  <measureGroups count="3">
    <measureGroup name="Table2" caption="Table2"/>
    <measureGroup name="Table3" caption="Table3"/>
    <measureGroup name="Table4" caption="Table4"/>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09.658671759258" backgroundQuery="1" createdVersion="8" refreshedVersion="8" minRefreshableVersion="3" recordCount="0" supportSubquery="1" supportAdvancedDrill="1" xr:uid="{F8BB3612-96B8-4BC0-A166-822A42C01713}">
  <cacheSource type="external" connectionId="1"/>
  <cacheFields count="5">
    <cacheField name="[Table3].[Customer_Segment].[Customer_Segment]" caption="Customer_Segment" numFmtId="0" hierarchy="13" level="1">
      <sharedItems containsSemiMixedTypes="0" containsNonDate="0" containsString="0"/>
    </cacheField>
    <cacheField name="[Measures].[Sum of Sales_Amount]" caption="Sum of Sales_Amount" numFmtId="0" hierarchy="27" level="32767"/>
    <cacheField name="[Measures].[Sum of Total_Cost]" caption="Sum of Total_Cost" numFmtId="0" hierarchy="30" level="32767"/>
    <cacheField name="[Measures].[Sum of Gross_Margin]" caption="Sum of Gross_Margin" numFmtId="0" hierarchy="31" level="32767"/>
    <cacheField name="[Table3].[Region].[Region]" caption="Region" numFmtId="0" hierarchy="12" level="1">
      <sharedItems count="4">
        <s v="East"/>
        <s v="North"/>
        <s v="South"/>
        <s v="West"/>
      </sharedItems>
    </cacheField>
  </cacheFields>
  <cacheHierarchies count="32">
    <cacheHierarchy uniqueName="[Table2].[Order_ID]" caption="Order_ID" attribute="1" defaultMemberUniqueName="[Table2].[Order_ID].[All]" allUniqueName="[Table2].[Order_ID].[All]" dimensionUniqueName="[Table2]" displayFolder="" count="0" memberValueDatatype="130" unbalanced="0"/>
    <cacheHierarchy uniqueName="[Table2].[Customer_ID]" caption="Customer_ID" attribute="1" defaultMemberUniqueName="[Table2].[Customer_ID].[All]" allUniqueName="[Table2].[Customer_ID].[All]" dimensionUniqueName="[Table2]"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0" memberValueDatatype="7" unbalanced="0"/>
    <cacheHierarchy uniqueName="[Table2].[Units_Sold]" caption="Units_Sold" attribute="1" defaultMemberUniqueName="[Table2].[Units_Sold].[All]" allUniqueName="[Table2].[Units_Sold].[All]" dimensionUniqueName="[Table2]" displayFolder="" count="0" memberValueDatatype="20" unbalanced="0"/>
    <cacheHierarchy uniqueName="[Table2].[Sales_Amount]" caption="Sales_Amount" attribute="1" defaultMemberUniqueName="[Table2].[Sales_Amount].[All]" allUniqueName="[Table2].[Sales_Amount].[All]" dimensionUniqueName="[Table2]" displayFolder="" count="0" memberValueDatatype="20" unbalanced="0"/>
    <cacheHierarchy uniqueName="[Table2].[Total]" caption="Total" attribute="1" defaultMemberUniqueName="[Table2].[Total].[All]" allUniqueName="[Table2].[Total].[All]" dimensionUniqueName="[Table2]" displayFolder="" count="0" memberValueDatatype="2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Total_Cost]" caption="Total_Cost" attribute="1" defaultMemberUniqueName="[Table2].[Total_Cost].[All]" allUniqueName="[Table2].[Total_Cost].[All]" dimensionUniqueName="[Table2]" displayFolder="" count="0" memberValueDatatype="20" unbalanced="0"/>
    <cacheHierarchy uniqueName="[Table2].[Gross_Margin]" caption="Gross_Margin" attribute="1" defaultMemberUniqueName="[Table2].[Gross_Margin].[All]" allUniqueName="[Table2].[Gross_Margin].[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fieldsUsage count="2">
        <fieldUsage x="-1"/>
        <fieldUsage x="4"/>
      </fieldsUsage>
    </cacheHierarchy>
    <cacheHierarchy uniqueName="[Table3].[Customer_Segment]" caption="Customer_Segment" attribute="1" defaultMemberUniqueName="[Table3].[Customer_Segment].[All]" allUniqueName="[Table3].[Customer_Segment].[All]" dimensionUniqueName="[Table3]" displayFolder="" count="2" memberValueDatatype="130" unbalanced="0">
      <fieldsUsage count="2">
        <fieldUsage x="-1"/>
        <fieldUsage x="0"/>
      </fieldsUsage>
    </cacheHierarchy>
    <cacheHierarchy uniqueName="[Table3].[Sign_Up_Quarter]" caption="Sign_Up_Quarter" attribute="1" defaultMemberUniqueName="[Table3].[Sign_Up_Quarter].[All]" allUniqueName="[Table3].[Sign_Up_Quarter].[All]" dimensionUniqueName="[Table3]"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Unit_Cost]" caption="Unit_Cost" attribute="1" defaultMemberUniqueName="[Table4].[Unit_Cost].[All]" allUniqueName="[Table4].[Unit_Cost].[All]" dimensionUniqueName="[Table4]" displayFolder="" count="0" memberValueDatatype="2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Retained_August_Customers]" caption="Retained_August_Customers" measure="1" displayFolder="" measureGroup="Table2" count="0"/>
    <cacheHierarchy uniqueName="[Measures].[August_Churn_Rate]" caption="August_Churn_Rate" measure="1" displayFolder="" measureGroup="Table2" count="0"/>
    <cacheHierarchy uniqueName="[Measures].[Active_July_Customers]" caption="Active_July_Customers" measure="1" displayFolder="" measureGroup="Table2" count="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_Amount]" caption="Sum of Sales_Amount" measure="1" displayFolder="" measureGroup="Table2"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Table2"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Gross_Margin]" caption="Sum of Gross_Margin" measure="1" displayFolder="" measureGroup="Table2" count="0" oneField="1" hidden="1">
      <fieldsUsage count="1">
        <fieldUsage x="3"/>
      </fieldsUsage>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Table2" uniqueName="[Table2]" caption="Table2"/>
    <dimension name="Table3" uniqueName="[Table3]" caption="Table3"/>
    <dimension name="Table4" uniqueName="[Table4]" caption="Table4"/>
  </dimensions>
  <measureGroups count="3">
    <measureGroup name="Table2" caption="Table2"/>
    <measureGroup name="Table3" caption="Table3"/>
    <measureGroup name="Table4" caption="Table4"/>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09.65867222222" backgroundQuery="1" createdVersion="8" refreshedVersion="8" minRefreshableVersion="3" recordCount="0" supportSubquery="1" supportAdvancedDrill="1" xr:uid="{E1D5434F-7646-4BBF-A036-932D986A09B1}">
  <cacheSource type="external" connectionId="1"/>
  <cacheFields count="4">
    <cacheField name="[Table3].[Region].[Region]" caption="Region" numFmtId="0" hierarchy="12" level="1">
      <sharedItems count="4">
        <s v="East"/>
        <s v="North"/>
        <s v="South"/>
        <s v="West"/>
      </sharedItems>
    </cacheField>
    <cacheField name="[Table4].[Product_Name].[Product_Name]" caption="Product_Name" numFmtId="0" hierarchy="16" level="1">
      <sharedItems count="3">
        <s v="BI Dashboard Connector"/>
        <s v="Cloud Analytics Engine"/>
        <s v="Data Pipeline Agent"/>
      </sharedItems>
    </cacheField>
    <cacheField name="[Measures].[Sum of Sales_Amount]" caption="Sum of Sales_Amount" numFmtId="0" hierarchy="27" level="32767"/>
    <cacheField name="[Table3].[Customer_Segment].[Customer_Segment]" caption="Customer_Segment" numFmtId="0" hierarchy="13" level="1">
      <sharedItems containsSemiMixedTypes="0" containsNonDate="0" containsString="0"/>
    </cacheField>
  </cacheFields>
  <cacheHierarchies count="32">
    <cacheHierarchy uniqueName="[Table2].[Order_ID]" caption="Order_ID" attribute="1" defaultMemberUniqueName="[Table2].[Order_ID].[All]" allUniqueName="[Table2].[Order_ID].[All]" dimensionUniqueName="[Table2]" displayFolder="" count="0" memberValueDatatype="130" unbalanced="0"/>
    <cacheHierarchy uniqueName="[Table2].[Customer_ID]" caption="Customer_ID" attribute="1" defaultMemberUniqueName="[Table2].[Customer_ID].[All]" allUniqueName="[Table2].[Customer_ID].[All]" dimensionUniqueName="[Table2]"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0" memberValueDatatype="7" unbalanced="0"/>
    <cacheHierarchy uniqueName="[Table2].[Units_Sold]" caption="Units_Sold" attribute="1" defaultMemberUniqueName="[Table2].[Units_Sold].[All]" allUniqueName="[Table2].[Units_Sold].[All]" dimensionUniqueName="[Table2]" displayFolder="" count="0" memberValueDatatype="20" unbalanced="0"/>
    <cacheHierarchy uniqueName="[Table2].[Sales_Amount]" caption="Sales_Amount" attribute="1" defaultMemberUniqueName="[Table2].[Sales_Amount].[All]" allUniqueName="[Table2].[Sales_Amount].[All]" dimensionUniqueName="[Table2]" displayFolder="" count="0" memberValueDatatype="20" unbalanced="0"/>
    <cacheHierarchy uniqueName="[Table2].[Total]" caption="Total" attribute="1" defaultMemberUniqueName="[Table2].[Total].[All]" allUniqueName="[Table2].[Total].[All]" dimensionUniqueName="[Table2]" displayFolder="" count="0" memberValueDatatype="2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Total_Cost]" caption="Total_Cost" attribute="1" defaultMemberUniqueName="[Table2].[Total_Cost].[All]" allUniqueName="[Table2].[Total_Cost].[All]" dimensionUniqueName="[Table2]" displayFolder="" count="0" memberValueDatatype="20" unbalanced="0"/>
    <cacheHierarchy uniqueName="[Table2].[Gross_Margin]" caption="Gross_Margin" attribute="1" defaultMemberUniqueName="[Table2].[Gross_Margin].[All]" allUniqueName="[Table2].[Gross_Margin].[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fieldsUsage count="2">
        <fieldUsage x="-1"/>
        <fieldUsage x="0"/>
      </fieldsUsage>
    </cacheHierarchy>
    <cacheHierarchy uniqueName="[Table3].[Customer_Segment]" caption="Customer_Segment" attribute="1" defaultMemberUniqueName="[Table3].[Customer_Segment].[All]" allUniqueName="[Table3].[Customer_Segment].[All]" dimensionUniqueName="[Table3]" displayFolder="" count="2" memberValueDatatype="130" unbalanced="0">
      <fieldsUsage count="2">
        <fieldUsage x="-1"/>
        <fieldUsage x="3"/>
      </fieldsUsage>
    </cacheHierarchy>
    <cacheHierarchy uniqueName="[Table3].[Sign_Up_Quarter]" caption="Sign_Up_Quarter" attribute="1" defaultMemberUniqueName="[Table3].[Sign_Up_Quarter].[All]" allUniqueName="[Table3].[Sign_Up_Quarter].[All]" dimensionUniqueName="[Table3]"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2" memberValueDatatype="130" unbalanced="0">
      <fieldsUsage count="2">
        <fieldUsage x="-1"/>
        <fieldUsage x="1"/>
      </fieldsUsage>
    </cacheHierarchy>
    <cacheHierarchy uniqueName="[Table4].[Category]" caption="Category" attribute="1" defaultMemberUniqueName="[Table4].[Category].[All]" allUniqueName="[Table4].[Category].[All]" dimensionUniqueName="[Table4]" displayFolder="" count="0" memberValueDatatype="130" unbalanced="0"/>
    <cacheHierarchy uniqueName="[Table4].[Unit_Cost]" caption="Unit_Cost" attribute="1" defaultMemberUniqueName="[Table4].[Unit_Cost].[All]" allUniqueName="[Table4].[Unit_Cost].[All]" dimensionUniqueName="[Table4]" displayFolder="" count="0" memberValueDatatype="2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Retained_August_Customers]" caption="Retained_August_Customers" measure="1" displayFolder="" measureGroup="Table2" count="0"/>
    <cacheHierarchy uniqueName="[Measures].[August_Churn_Rate]" caption="August_Churn_Rate" measure="1" displayFolder="" measureGroup="Table2" count="0"/>
    <cacheHierarchy uniqueName="[Measures].[Active_July_Customers]" caption="Active_July_Customers" measure="1" displayFolder="" measureGroup="Table2" count="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_Amount]" caption="Sum of Sales_Amount" measure="1" displayFolder="" measureGroup="Table2"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Table2"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1"/>
        </ext>
      </extLst>
    </cacheHierarchy>
    <cacheHierarchy uniqueName="[Measures].[Sum of Total_Cost]" caption="Sum of Total_Cost" measure="1" displayFolder="" measureGroup="Table2" count="0" hidden="1">
      <extLst>
        <ext xmlns:x15="http://schemas.microsoft.com/office/spreadsheetml/2010/11/main" uri="{B97F6D7D-B522-45F9-BDA1-12C45D357490}">
          <x15:cacheHierarchy aggregatedColumn="8"/>
        </ext>
      </extLst>
    </cacheHierarchy>
    <cacheHierarchy uniqueName="[Measures].[Sum of Gross_Margin]" caption="Sum of Gross_Margin" measure="1" displayFolder="" measureGroup="Table2"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Table2" uniqueName="[Table2]" caption="Table2"/>
    <dimension name="Table3" uniqueName="[Table3]" caption="Table3"/>
    <dimension name="Table4" uniqueName="[Table4]" caption="Table4"/>
  </dimensions>
  <measureGroups count="3">
    <measureGroup name="Table2" caption="Table2"/>
    <measureGroup name="Table3" caption="Table3"/>
    <measureGroup name="Table4" caption="Table4"/>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09.655798148146" backgroundQuery="1" createdVersion="3" refreshedVersion="8" minRefreshableVersion="3" recordCount="0" supportSubquery="1" supportAdvancedDrill="1" xr:uid="{AC288801-B088-4D37-8254-55400ECE0117}">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Table2].[Order_ID]" caption="Order_ID" attribute="1" defaultMemberUniqueName="[Table2].[Order_ID].[All]" allUniqueName="[Table2].[Order_ID].[All]" dimensionUniqueName="[Table2]" displayFolder="" count="0" memberValueDatatype="130" unbalanced="0"/>
    <cacheHierarchy uniqueName="[Table2].[Customer_ID]" caption="Customer_ID" attribute="1" defaultMemberUniqueName="[Table2].[Customer_ID].[All]" allUniqueName="[Table2].[Customer_ID].[All]" dimensionUniqueName="[Table2]"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0" memberValueDatatype="7" unbalanced="0"/>
    <cacheHierarchy uniqueName="[Table2].[Units_Sold]" caption="Units_Sold" attribute="1" defaultMemberUniqueName="[Table2].[Units_Sold].[All]" allUniqueName="[Table2].[Units_Sold].[All]" dimensionUniqueName="[Table2]" displayFolder="" count="0" memberValueDatatype="20" unbalanced="0"/>
    <cacheHierarchy uniqueName="[Table2].[Sales_Amount]" caption="Sales_Amount" attribute="1" defaultMemberUniqueName="[Table2].[Sales_Amount].[All]" allUniqueName="[Table2].[Sales_Amount].[All]" dimensionUniqueName="[Table2]" displayFolder="" count="0" memberValueDatatype="20" unbalanced="0"/>
    <cacheHierarchy uniqueName="[Table2].[Total]" caption="Total" attribute="1" defaultMemberUniqueName="[Table2].[Total].[All]" allUniqueName="[Table2].[Total].[All]" dimensionUniqueName="[Table2]" displayFolder="" count="0" memberValueDatatype="2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Total_Cost]" caption="Total_Cost" attribute="1" defaultMemberUniqueName="[Table2].[Total_Cost].[All]" allUniqueName="[Table2].[Total_Cost].[All]" dimensionUniqueName="[Table2]" displayFolder="" count="0" memberValueDatatype="20" unbalanced="0"/>
    <cacheHierarchy uniqueName="[Table2].[Gross_Margin]" caption="Gross_Margin" attribute="1" defaultMemberUniqueName="[Table2].[Gross_Margin].[All]" allUniqueName="[Table2].[Gross_Margin].[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2" memberValueDatatype="130" unbalanced="0"/>
    <cacheHierarchy uniqueName="[Table3].[Sign_Up_Quarter]" caption="Sign_Up_Quarter" attribute="1" defaultMemberUniqueName="[Table3].[Sign_Up_Quarter].[All]" allUniqueName="[Table3].[Sign_Up_Quarter].[All]" dimensionUniqueName="[Table3]"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Unit_Cost]" caption="Unit_Cost" attribute="1" defaultMemberUniqueName="[Table4].[Unit_Cost].[All]" allUniqueName="[Table4].[Unit_Cost].[All]" dimensionUniqueName="[Table4]" displayFolder="" count="0" memberValueDatatype="2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Sum of Sales_Amount]" caption="Sum of Sales_Amount" measure="1" displayFolder="" measureGroup="Table2" count="0">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Table2"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Table2" count="0">
      <extLst>
        <ext xmlns:x15="http://schemas.microsoft.com/office/spreadsheetml/2010/11/main" uri="{B97F6D7D-B522-45F9-BDA1-12C45D357490}">
          <x15:cacheHierarchy aggregatedColumn="1"/>
        </ext>
      </extLst>
    </cacheHierarchy>
    <cacheHierarchy uniqueName="[Measures].[Retained_August_Customers]" caption="Retained_August_Customers" measure="1" displayFolder="" measureGroup="Table2" count="0"/>
    <cacheHierarchy uniqueName="[Measures].[August_Churn_Rate]" caption="August_Churn_Rate" measure="1" displayFolder="" measureGroup="Table2" count="0"/>
    <cacheHierarchy uniqueName="[Measures].[Active_July_Customers]" caption="Active_July_Customers" measure="1" displayFolder="" measureGroup="Table2" count="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100686"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ani Guntur" refreshedDate="46309.655798611115" backgroundQuery="1" createdVersion="3" refreshedVersion="8" minRefreshableVersion="3" recordCount="0" supportSubquery="1" supportAdvancedDrill="1" xr:uid="{DC2D617A-2691-4AB3-B2EA-AD2624DDCD82}">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Table2].[Order_ID]" caption="Order_ID" attribute="1" defaultMemberUniqueName="[Table2].[Order_ID].[All]" allUniqueName="[Table2].[Order_ID].[All]" dimensionUniqueName="[Table2]" displayFolder="" count="0" memberValueDatatype="130" unbalanced="0"/>
    <cacheHierarchy uniqueName="[Table2].[Customer_ID]" caption="Customer_ID" attribute="1" defaultMemberUniqueName="[Table2].[Customer_ID].[All]" allUniqueName="[Table2].[Customer_ID].[All]" dimensionUniqueName="[Table2]"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Order_Date]" caption="Order_Date" attribute="1" time="1" defaultMemberUniqueName="[Table2].[Order_Date].[All]" allUniqueName="[Table2].[Order_Date].[All]" dimensionUniqueName="[Table2]" displayFolder="" count="2" memberValueDatatype="7" unbalanced="0"/>
    <cacheHierarchy uniqueName="[Table2].[Units_Sold]" caption="Units_Sold" attribute="1" defaultMemberUniqueName="[Table2].[Units_Sold].[All]" allUniqueName="[Table2].[Units_Sold].[All]" dimensionUniqueName="[Table2]" displayFolder="" count="0" memberValueDatatype="20" unbalanced="0"/>
    <cacheHierarchy uniqueName="[Table2].[Sales_Amount]" caption="Sales_Amount" attribute="1" defaultMemberUniqueName="[Table2].[Sales_Amount].[All]" allUniqueName="[Table2].[Sales_Amount].[All]" dimensionUniqueName="[Table2]" displayFolder="" count="0" memberValueDatatype="20" unbalanced="0"/>
    <cacheHierarchy uniqueName="[Table2].[Total]" caption="Total" attribute="1" defaultMemberUniqueName="[Table2].[Total].[All]" allUniqueName="[Table2].[Total].[All]" dimensionUniqueName="[Table2]" displayFolder="" count="0" memberValueDatatype="20" unbalanced="0"/>
    <cacheHierarchy uniqueName="[Table2].[Order_Date (Month)]" caption="Order_Date (Month)" attribute="1" defaultMemberUniqueName="[Table2].[Order_Date (Month)].[All]" allUniqueName="[Table2].[Order_Date (Month)].[All]" dimensionUniqueName="[Table2]" displayFolder="" count="0" memberValueDatatype="130" unbalanced="0"/>
    <cacheHierarchy uniqueName="[Table2].[Total_Cost]" caption="Total_Cost" attribute="1" defaultMemberUniqueName="[Table2].[Total_Cost].[All]" allUniqueName="[Table2].[Total_Cost].[All]" dimensionUniqueName="[Table2]" displayFolder="" count="0" memberValueDatatype="20" unbalanced="0"/>
    <cacheHierarchy uniqueName="[Table2].[Gross_Margin]" caption="Gross_Margin" attribute="1" defaultMemberUniqueName="[Table2].[Gross_Margin].[All]" allUniqueName="[Table2].[Gross_Margin].[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Customer_Segment]" caption="Customer_Segment" attribute="1" defaultMemberUniqueName="[Table3].[Customer_Segment].[All]" allUniqueName="[Table3].[Customer_Segment].[All]" dimensionUniqueName="[Table3]" displayFolder="" count="0" memberValueDatatype="130" unbalanced="0"/>
    <cacheHierarchy uniqueName="[Table3].[Sign_Up_Quarter]" caption="Sign_Up_Quarter" attribute="1" defaultMemberUniqueName="[Table3].[Sign_Up_Quarter].[All]" allUniqueName="[Table3].[Sign_Up_Quarter].[All]" dimensionUniqueName="[Table3]" displayFolder="" count="0" memberValueDatatype="130" unbalanced="0"/>
    <cacheHierarchy uniqueName="[Table4].[Product_ID]" caption="Product_ID" attribute="1" defaultMemberUniqueName="[Table4].[Product_ID].[All]" allUniqueName="[Table4].[Product_ID].[All]" dimensionUniqueName="[Table4]" displayFolder="" count="0" memberValueDatatype="130" unbalanced="0"/>
    <cacheHierarchy uniqueName="[Table4].[Product_Name]" caption="Product_Name" attribute="1" defaultMemberUniqueName="[Table4].[Product_Name].[All]" allUniqueName="[Table4].[Product_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Unit_Cost]" caption="Unit_Cost" attribute="1" defaultMemberUniqueName="[Table4].[Unit_Cost].[All]" allUniqueName="[Table4].[Unit_Cost].[All]" dimensionUniqueName="[Table4]" displayFolder="" count="0" memberValueDatatype="20" unbalanced="0"/>
    <cacheHierarchy uniqueName="[Table2].[Order_Date (Month Index)]" caption="Order_Date (Month Index)" attribute="1" defaultMemberUniqueName="[Table2].[Order_Date (Month Index)].[All]" allUniqueName="[Table2].[Order_Date (Month Index)].[All]" dimensionUniqueName="[Table2]" displayFolder="" count="0" memberValueDatatype="20" unbalanced="0" hidden="1"/>
    <cacheHierarchy uniqueName="[Measures].[Sum of Sales_Amount]" caption="Sum of Sales_Amount" measure="1" displayFolder="" measureGroup="Table2" count="0">
      <extLst>
        <ext xmlns:x15="http://schemas.microsoft.com/office/spreadsheetml/2010/11/main" uri="{B97F6D7D-B522-45F9-BDA1-12C45D357490}">
          <x15:cacheHierarchy aggregatedColumn="5"/>
        </ext>
      </extLst>
    </cacheHierarchy>
    <cacheHierarchy uniqueName="[Measures].[Count of Customer_ID]" caption="Count of Customer_ID" measure="1" displayFolder="" measureGroup="Table2" count="0">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Table2" count="0">
      <extLst>
        <ext xmlns:x15="http://schemas.microsoft.com/office/spreadsheetml/2010/11/main" uri="{B97F6D7D-B522-45F9-BDA1-12C45D357490}">
          <x15:cacheHierarchy aggregatedColumn="1"/>
        </ext>
      </extLst>
    </cacheHierarchy>
    <cacheHierarchy uniqueName="[Measures].[Retained_August_Customers]" caption="Retained_August_Customers" measure="1" displayFolder="" measureGroup="Table2" count="0"/>
    <cacheHierarchy uniqueName="[Measures].[August_Churn_Rate]" caption="August_Churn_Rate" measure="1" displayFolder="" measureGroup="Table2" count="0"/>
    <cacheHierarchy uniqueName="[Measures].[Active_July_Customers]" caption="Active_July_Customers" measure="1" displayFolder="" measureGroup="Table2" count="0"/>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0960004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ORD-901"/>
    <s v="CUST-01"/>
    <s v="PROD-A"/>
    <x v="0"/>
    <n v="2"/>
    <n v="1200"/>
  </r>
  <r>
    <s v="ORD-902"/>
    <s v="CUST-02"/>
    <s v="PROD-B"/>
    <x v="1"/>
    <n v="1"/>
    <n v="450"/>
  </r>
  <r>
    <s v="ORD-903"/>
    <s v="CUST-01"/>
    <s v="PROD-C"/>
    <x v="2"/>
    <n v="3"/>
    <n v="890"/>
  </r>
  <r>
    <s v="ORD-904"/>
    <s v="CUST-03"/>
    <s v="PROD-A"/>
    <x v="3"/>
    <n v="1"/>
    <n v="600"/>
  </r>
  <r>
    <s v="ORD-905"/>
    <s v="CUST-04"/>
    <s v="PROD-B"/>
    <x v="4"/>
    <n v="4"/>
    <n v="1800"/>
  </r>
  <r>
    <s v="ORD-906"/>
    <s v="CUST-02"/>
    <s v="PROD-A"/>
    <x v="5"/>
    <n v="2"/>
    <n v="1200"/>
  </r>
  <r>
    <s v="ORD-907"/>
    <s v="CUST-05"/>
    <s v="PROD-C"/>
    <x v="6"/>
    <n v="1"/>
    <n v="300"/>
  </r>
  <r>
    <s v="ORD-908"/>
    <s v="CUST-03"/>
    <s v="PROD-B"/>
    <x v="7"/>
    <n v="2"/>
    <n v="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D0AB59-9CEE-457F-8716-6DFA39E85972}" name="PivotTable9" cacheId="440" applyNumberFormats="0" applyBorderFormats="0" applyFontFormats="0" applyPatternFormats="0" applyAlignmentFormats="0" applyWidthHeightFormats="1" dataCaption="Values" tag="f85a89cc-20ab-4046-ab8a-c463f3522a56" updatedVersion="8" minRefreshableVersion="3" useAutoFormatting="1" itemPrintTitles="1" createdVersion="8" indent="0" outline="1" outlineData="1" multipleFieldFilters="0">
  <location ref="A13:E19"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name="Sum of Sales_Amount" fld="2"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Table4]"/>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4F3548-C128-4205-95AC-F29E0DFB2D02}" name="PivotTable8" cacheId="428" applyNumberFormats="0" applyBorderFormats="0" applyFontFormats="0" applyPatternFormats="0" applyAlignmentFormats="0" applyWidthHeightFormats="1" dataCaption="Values" tag="743ddf64-7938-433a-a7c5-1f7fa0984e99" updatedVersion="8" minRefreshableVersion="5" useAutoFormatting="1" subtotalHiddenItems="1" itemPrintTitles="1" createdVersion="8" indent="0" outline="1" outlineData="1" multipleFieldFilters="0">
  <location ref="A3:D9" firstHeaderRow="1" firstDataRow="2"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5">
    <i>
      <x/>
    </i>
    <i>
      <x v="1"/>
    </i>
    <i>
      <x v="2"/>
    </i>
    <i>
      <x v="3"/>
    </i>
    <i t="grand">
      <x/>
    </i>
  </rowItems>
  <colFields count="1">
    <field x="2"/>
  </colFields>
  <colItems count="3">
    <i>
      <x/>
    </i>
    <i>
      <x v="1"/>
    </i>
    <i t="grand">
      <x/>
    </i>
  </colItems>
  <dataFields count="1">
    <dataField name="Sum of Sales_Amount" fld="0"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3]"/>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3B8F34-E703-4E83-AF92-F79651494D8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5" firstHeaderRow="1" firstDataRow="1" firstDataCol="1"/>
  <pivotFields count="8">
    <pivotField showAll="0"/>
    <pivotField showAll="0"/>
    <pivotField showAll="0"/>
    <pivotField axis="axisRow" numFmtId="14" showAll="0">
      <items count="9">
        <item x="0"/>
        <item x="1"/>
        <item x="2"/>
        <item x="3"/>
        <item x="4"/>
        <item x="5"/>
        <item x="6"/>
        <item x="7"/>
        <item t="default"/>
      </items>
    </pivotField>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3">
    <field x="7"/>
    <field x="6"/>
    <field x="3"/>
  </rowFields>
  <rowItems count="4">
    <i>
      <x v="6"/>
    </i>
    <i>
      <x v="7"/>
    </i>
    <i>
      <x v="8"/>
    </i>
    <i t="grand">
      <x/>
    </i>
  </rowItems>
  <colItems count="1">
    <i/>
  </colItems>
  <dataFields count="1">
    <dataField name="%of Total" fld="5" baseField="7" baseItem="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5B9302-3F49-4732-9328-21C5D2944C25}" name="PivotTable6" cacheId="437" applyNumberFormats="0" applyBorderFormats="0" applyFontFormats="0" applyPatternFormats="0" applyAlignmentFormats="0" applyWidthHeightFormats="1" dataCaption="Values" tag="acd85e4f-9a85-42ee-ab53-d0d2c2a68719" updatedVersion="8" minRefreshableVersion="3" useAutoFormatting="1" subtotalHiddenItems="1" itemPrintTitles="1" createdVersion="8" indent="0" outline="1" outlineData="1" multipleFieldFilters="0">
  <location ref="A12:D17" firstHeaderRow="0" firstDataRow="1" firstDataCol="1"/>
  <pivotFields count="5">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1">
    <field x="4"/>
  </rowFields>
  <rowItems count="5">
    <i>
      <x/>
    </i>
    <i>
      <x v="1"/>
    </i>
    <i>
      <x v="2"/>
    </i>
    <i>
      <x v="3"/>
    </i>
    <i t="grand">
      <x/>
    </i>
  </rowItems>
  <colFields count="1">
    <field x="-2"/>
  </colFields>
  <colItems count="3">
    <i>
      <x/>
    </i>
    <i i="1">
      <x v="1"/>
    </i>
    <i i="2">
      <x v="2"/>
    </i>
  </colItems>
  <dataFields count="3">
    <dataField name="Sum of Sales_Amount" fld="1" baseField="0" baseItem="0"/>
    <dataField name="Sum of Gross_Margin" fld="3" baseField="0" baseItem="0"/>
    <dataField name="Sum of Total_Cost" fld="2" baseField="0" baseItem="0"/>
  </dataFields>
  <formats count="1">
    <format dxfId="7">
      <pivotArea grandRow="1"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855410-0963-494B-8137-A1AAB94EFE4E}" name="PivotTable4" cacheId="431" applyNumberFormats="0" applyBorderFormats="0" applyFontFormats="0" applyPatternFormats="0" applyAlignmentFormats="0" applyWidthHeightFormats="1" dataCaption="Values" tag="64f94a1b-cf2d-4e84-bbc1-843e08d1f5b0" updatedVersion="8" minRefreshableVersion="3" useAutoFormatting="1" subtotalHiddenItems="1" itemPrintTitles="1" createdVersion="8" indent="0" outline="1" outlineData="1" multipleFieldFilters="0">
  <location ref="G3:I20" firstHeaderRow="1" firstDataRow="1" firstDataCol="0"/>
  <pivotFields count="1">
    <pivotField allDrilled="1" subtotalTop="0" showAll="0" dataSourceSort="1" defaultSubtotal="0" defaultAttributeDrillState="1"/>
  </pivot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05_Worksheet.xlsx!Dim_Customers">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E64CCD-7D7E-4EFC-9354-6614A857D5D3}" name="PivotTable5" cacheId="434" applyNumberFormats="0" applyBorderFormats="0" applyFontFormats="0" applyPatternFormats="0" applyAlignmentFormats="0" applyWidthHeightFormats="1" dataCaption="Values" tag="c02782e2-d8af-412b-a6b1-74cf499961da" updatedVersion="8" minRefreshableVersion="3" useAutoFormatting="1" subtotalHiddenItems="1" itemPrintTitles="1" createdVersion="8" indent="0" outline="1" outlineData="1" multipleFieldFilters="0">
  <location ref="F2:H19" firstHeaderRow="1" firstDataRow="1" firstDataCol="0"/>
  <pivotFields count="1">
    <pivotField allDrilled="1" subtotalTop="0" showAll="0" dataSourceSort="1" defaultSubtotal="0" defaultAttributeDrillState="1"/>
  </pivot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_05_Worksheet.xlsx!Dim_Products">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ACF0E3-4DC9-4A19-9E42-26B211999C0B}" name="PivotTable4" cacheId="366" applyNumberFormats="0" applyBorderFormats="0" applyFontFormats="0" applyPatternFormats="0" applyAlignmentFormats="0" applyWidthHeightFormats="1" dataCaption="Values" tag="d315f30a-169a-4c3d-8f58-5c8414a42e71" updatedVersion="8" minRefreshableVersion="3" useAutoFormatting="1" itemPrintTitles="1" createdVersion="5" indent="0" outline="1" outlineData="1" multipleFieldFilters="0">
  <location ref="B3:D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2" subtotal="count" baseField="0" baseItem="0"/>
    <dataField fld="1"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73BAC5-C3AA-4B75-BF24-8BC12B28BB6C}" name="PivotTable5" cacheId="367" applyNumberFormats="0" applyBorderFormats="0" applyFontFormats="0" applyPatternFormats="0" applyAlignmentFormats="0" applyWidthHeightFormats="1" dataCaption="Values" tag="e13c80ca-ae78-4112-8689-527bb0c3f76e" updatedVersion="8" minRefreshableVersion="3" useAutoFormatting="1" itemPrintTitles="1" createdVersion="8" indent="0" outline="1" outlineData="1" multipleFieldFilters="0">
  <location ref="A10:D17" firstHeaderRow="1" firstDataRow="3"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axis="axisCol" allDrilled="1" subtotalTop="0" showAll="0" dataSourceSort="1" defaultSubtotal="0">
      <items count="2">
        <item s="1" x="0" e="0"/>
        <item s="1" x="1" e="0"/>
      </items>
    </pivotField>
    <pivotField dataField="1" subtotalTop="0" showAll="0" defaultSubtotal="0"/>
  </pivotFields>
  <rowFields count="1">
    <field x="0"/>
  </rowFields>
  <rowItems count="5">
    <i>
      <x/>
    </i>
    <i>
      <x v="1"/>
    </i>
    <i>
      <x v="2"/>
    </i>
    <i>
      <x v="3"/>
    </i>
    <i t="grand">
      <x/>
    </i>
  </rowItems>
  <colFields count="2">
    <field x="2"/>
    <field x="1"/>
  </colFields>
  <colItems count="3">
    <i>
      <x/>
    </i>
    <i>
      <x v="1"/>
    </i>
    <i t="grand">
      <x/>
    </i>
  </colItems>
  <dataFields count="1">
    <dataField name="Sum of Sales_Amount" fld="3"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2">
    <colHierarchyUsage hierarchyUsage="7"/>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F2F680-3D95-44E5-AB33-8B240FFE4FA3}" name="PivotTable3" cacheId="368" applyNumberFormats="0" applyBorderFormats="0" applyFontFormats="0" applyPatternFormats="0" applyAlignmentFormats="0" applyWidthHeightFormats="1" dataCaption="Values" tag="fb760303-92c6-468e-b8f1-9656be3a1cf6" updatedVersion="8" minRefreshableVersion="3" useAutoFormatting="1" itemPrintTitles="1" createdVersion="8" indent="0" outline="1" outlineData="1" multipleFieldFilters="0">
  <location ref="A1:E6"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4">
    <i>
      <x/>
    </i>
    <i>
      <x v="1"/>
    </i>
    <i>
      <x v="2"/>
    </i>
    <i t="grand">
      <x/>
    </i>
  </rowItems>
  <colFields count="1">
    <field x="2"/>
  </colFields>
  <colItems count="4">
    <i>
      <x/>
    </i>
    <i>
      <x v="1"/>
    </i>
    <i>
      <x v="2"/>
    </i>
    <i t="grand">
      <x/>
    </i>
  </colItems>
  <dataFields count="1">
    <dataField name="Distinct Count of Customer_ID" fld="1"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_ID"/>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A5EF3E8-7792-4ABB-A310-84A3B0ED0976}" sourceName="[Table3].[Customer_Segment]">
  <pivotTables>
    <pivotTable tabId="8" name="PivotTable8"/>
    <pivotTable tabId="2" name="PivotTable4"/>
    <pivotTable tabId="3" name="PivotTable5"/>
    <pivotTable tabId="1" name="PivotTable6"/>
    <pivotTable tabId="8" name="PivotTable9"/>
  </pivotTables>
  <data>
    <olap pivotCacheId="4100686">
      <levels count="2">
        <level uniqueName="[Table3].[Customer_Segment].[(All)]" sourceCaption="(All)" count="0"/>
        <level uniqueName="[Table3].[Customer_Segment].[Customer_Segment]" sourceCaption="Customer_Segment" count="3">
          <ranges>
            <range startItem="0">
              <i n="[Table3].[Customer_Segment].&amp;[Enterprise]" c="Enterprise"/>
              <i n="[Table3].[Customer_Segment].&amp;[Retail]" c="Retail"/>
              <i n="[Table3].[Customer_Segment].&amp;[SMB]" c="SMB"/>
            </range>
          </ranges>
        </level>
      </levels>
      <selections count="1">
        <selection n="[Table3].[Customer_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ECFEB94B-782E-4914-A230-614D708D715F}" cache="Slicer_Customer_Segment" caption="Customer_Segment"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06E7CD-F258-477A-8CFE-72015893F01B}" name="Fact_Orders" displayName="Fact_Orders" ref="A1:F9" totalsRowShown="0" headerRowDxfId="11">
  <autoFilter ref="A1:F9" xr:uid="{2B06E7CD-F258-477A-8CFE-72015893F01B}"/>
  <tableColumns count="6">
    <tableColumn id="1" xr3:uid="{B3B37449-C38A-42FC-A03F-827310DBA342}" name="Order_ID"/>
    <tableColumn id="2" xr3:uid="{BF505875-72D8-4B02-86DA-CB7C160A5FE4}" name="Customer_ID"/>
    <tableColumn id="3" xr3:uid="{CEE0C59C-3A17-4944-87F9-2A693B102A58}" name="Product_ID"/>
    <tableColumn id="4" xr3:uid="{55FAEFC7-E6DD-42F7-AA28-C38CE7F34248}" name="Order_Date" dataDxfId="10"/>
    <tableColumn id="5" xr3:uid="{FABD08C7-2768-4263-B4CE-9E7FABB34CDA}" name="Units_Sold"/>
    <tableColumn id="6" xr3:uid="{CF392070-8C58-45AF-922C-72DAD7B1A8C5}" name="Sales_Am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D3832C-9064-4700-9BFC-43E60EBEF1B1}" name="Dim_Customers" displayName="Dim_Customers" ref="A1:E6" totalsRowShown="0" headerRowDxfId="9">
  <autoFilter ref="A1:E6" xr:uid="{6DD3832C-9064-4700-9BFC-43E60EBEF1B1}"/>
  <tableColumns count="5">
    <tableColumn id="1" xr3:uid="{EEC18903-9E8F-49BD-A78E-D66DFB406E60}" name="Customer_ID"/>
    <tableColumn id="2" xr3:uid="{41E21568-28FD-442B-B691-ACE750A823BF}" name="Customer_Name"/>
    <tableColumn id="3" xr3:uid="{18609A59-2D04-4CA0-93C2-693F3E95F6EC}" name="Region"/>
    <tableColumn id="4" xr3:uid="{9816981D-461F-40B0-B676-EE2AAE6907A0}" name="Customer_Segment"/>
    <tableColumn id="5" xr3:uid="{CAB9EACA-E9AB-435D-8D65-E88E574D3A9E}" name="Sign_Up_Quart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C952966-FF0D-4043-9240-34B8B0DDA0F3}" name="Dim_Products" displayName="Dim_Products" ref="A1:D4" totalsRowShown="0" headerRowDxfId="8">
  <autoFilter ref="A1:D4" xr:uid="{BC952966-FF0D-4043-9240-34B8B0DDA0F3}"/>
  <tableColumns count="4">
    <tableColumn id="1" xr3:uid="{AAA5BCE2-80F6-48C2-B7F9-23A9FA28A8C4}" name="Product_ID"/>
    <tableColumn id="2" xr3:uid="{590DC96F-C305-46FE-9D39-B0383E66650C}" name="Product_Name"/>
    <tableColumn id="3" xr3:uid="{4375BAA8-4531-45CF-A8BE-1DDF6F792C70}" name="Category"/>
    <tableColumn id="4" xr3:uid="{24B86BDD-CB92-4B47-847B-3DE46CF2FBE7}" name="Unit_Co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64D0546-8F15-4529-BC2C-028BDD667426}" sourceName="[Table2].[Order_Date]">
  <pivotTables>
    <pivotTable tabId="8" name="PivotTable8"/>
  </pivotTables>
  <state minimalRefreshVersion="6" lastRefreshVersion="6" pivotCacheId="1096000413"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7E078D3-36C6-422A-8BF9-4D15A5F9E6C9}" cache="Timeline_Order_Date" caption="Order_Date" level="1" selectionLevel="1" scrollPosition="2026-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E7F1F-CC47-4A59-8167-F05CC913DAAB}">
  <dimension ref="A3:E19"/>
  <sheetViews>
    <sheetView workbookViewId="0">
      <selection activeCell="A3" sqref="A3"/>
    </sheetView>
  </sheetViews>
  <sheetFormatPr defaultRowHeight="14.5" x14ac:dyDescent="0.35"/>
  <cols>
    <col min="1" max="1" width="19.26953125" bestFit="1" customWidth="1"/>
    <col min="2" max="2" width="21.54296875" bestFit="1" customWidth="1"/>
    <col min="3" max="3" width="19.7265625" bestFit="1" customWidth="1"/>
    <col min="4" max="4" width="17.453125" bestFit="1" customWidth="1"/>
    <col min="5" max="5" width="10.7265625" bestFit="1" customWidth="1"/>
  </cols>
  <sheetData>
    <row r="3" spans="1:5" x14ac:dyDescent="0.35">
      <c r="A3" s="12" t="s">
        <v>55</v>
      </c>
      <c r="B3" s="12" t="s">
        <v>49</v>
      </c>
    </row>
    <row r="4" spans="1:5" x14ac:dyDescent="0.35">
      <c r="A4" s="12" t="s">
        <v>54</v>
      </c>
      <c r="B4" t="s">
        <v>48</v>
      </c>
      <c r="C4" t="s">
        <v>45</v>
      </c>
      <c r="D4" t="s">
        <v>50</v>
      </c>
    </row>
    <row r="5" spans="1:5" x14ac:dyDescent="0.35">
      <c r="A5" s="13" t="s">
        <v>34</v>
      </c>
      <c r="B5" s="15"/>
      <c r="C5" s="15">
        <v>1500</v>
      </c>
      <c r="D5" s="15">
        <v>1500</v>
      </c>
    </row>
    <row r="6" spans="1:5" x14ac:dyDescent="0.35">
      <c r="A6" s="13" t="s">
        <v>27</v>
      </c>
      <c r="B6" s="15">
        <v>1190</v>
      </c>
      <c r="C6" s="15">
        <v>1200</v>
      </c>
      <c r="D6" s="15">
        <v>2390</v>
      </c>
    </row>
    <row r="7" spans="1:5" x14ac:dyDescent="0.35">
      <c r="A7" s="13" t="s">
        <v>31</v>
      </c>
      <c r="B7" s="15"/>
      <c r="C7" s="15">
        <v>1650</v>
      </c>
      <c r="D7" s="15">
        <v>1650</v>
      </c>
    </row>
    <row r="8" spans="1:5" x14ac:dyDescent="0.35">
      <c r="A8" s="13" t="s">
        <v>37</v>
      </c>
      <c r="B8" s="15"/>
      <c r="C8" s="15">
        <v>1800</v>
      </c>
      <c r="D8" s="15">
        <v>1800</v>
      </c>
    </row>
    <row r="9" spans="1:5" x14ac:dyDescent="0.35">
      <c r="A9" s="13" t="s">
        <v>50</v>
      </c>
      <c r="B9" s="15">
        <v>1190</v>
      </c>
      <c r="C9" s="15">
        <v>6150</v>
      </c>
      <c r="D9" s="15">
        <v>7340</v>
      </c>
    </row>
    <row r="13" spans="1:5" x14ac:dyDescent="0.35">
      <c r="A13" s="12" t="s">
        <v>55</v>
      </c>
      <c r="B13" s="12" t="s">
        <v>49</v>
      </c>
    </row>
    <row r="14" spans="1:5" x14ac:dyDescent="0.35">
      <c r="A14" s="12" t="s">
        <v>54</v>
      </c>
      <c r="B14" t="s">
        <v>46</v>
      </c>
      <c r="C14" t="s">
        <v>44</v>
      </c>
      <c r="D14" t="s">
        <v>47</v>
      </c>
      <c r="E14" t="s">
        <v>50</v>
      </c>
    </row>
    <row r="15" spans="1:5" x14ac:dyDescent="0.35">
      <c r="A15" s="13" t="s">
        <v>34</v>
      </c>
      <c r="B15" s="15">
        <v>900</v>
      </c>
      <c r="C15" s="15">
        <v>600</v>
      </c>
      <c r="D15" s="15"/>
      <c r="E15" s="15">
        <v>1500</v>
      </c>
    </row>
    <row r="16" spans="1:5" x14ac:dyDescent="0.35">
      <c r="A16" s="13" t="s">
        <v>27</v>
      </c>
      <c r="B16" s="15"/>
      <c r="C16" s="15">
        <v>1200</v>
      </c>
      <c r="D16" s="15">
        <v>1190</v>
      </c>
      <c r="E16" s="15">
        <v>2390</v>
      </c>
    </row>
    <row r="17" spans="1:5" x14ac:dyDescent="0.35">
      <c r="A17" s="13" t="s">
        <v>31</v>
      </c>
      <c r="B17" s="15">
        <v>450</v>
      </c>
      <c r="C17" s="15">
        <v>1200</v>
      </c>
      <c r="D17" s="15"/>
      <c r="E17" s="15">
        <v>1650</v>
      </c>
    </row>
    <row r="18" spans="1:5" x14ac:dyDescent="0.35">
      <c r="A18" s="13" t="s">
        <v>37</v>
      </c>
      <c r="B18" s="15">
        <v>1800</v>
      </c>
      <c r="C18" s="15"/>
      <c r="D18" s="15"/>
      <c r="E18" s="15">
        <v>1800</v>
      </c>
    </row>
    <row r="19" spans="1:5" x14ac:dyDescent="0.35">
      <c r="A19" s="13" t="s">
        <v>50</v>
      </c>
      <c r="B19" s="15">
        <v>3150</v>
      </c>
      <c r="C19" s="15">
        <v>3000</v>
      </c>
      <c r="D19" s="15">
        <v>1190</v>
      </c>
      <c r="E19" s="15">
        <v>7340</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9CA5B-14F4-4759-9190-CD9F37494FFA}">
  <dimension ref="A1:R17"/>
  <sheetViews>
    <sheetView tabSelected="1" topLeftCell="A4" workbookViewId="0">
      <selection activeCell="E14" sqref="E14"/>
    </sheetView>
  </sheetViews>
  <sheetFormatPr defaultRowHeight="14.5" x14ac:dyDescent="0.35"/>
  <cols>
    <col min="1" max="1" width="12.36328125" bestFit="1" customWidth="1"/>
    <col min="2" max="2" width="19.26953125" bestFit="1" customWidth="1"/>
    <col min="3" max="3" width="18.90625" bestFit="1" customWidth="1"/>
    <col min="4" max="4" width="16.1796875" bestFit="1" customWidth="1"/>
    <col min="5" max="5" width="11.7265625" customWidth="1"/>
    <col min="6" max="6" width="14.81640625" customWidth="1"/>
    <col min="9" max="9" width="12.36328125" bestFit="1" customWidth="1"/>
    <col min="10" max="10" width="8.7265625" bestFit="1" customWidth="1"/>
    <col min="11" max="11" width="20.26953125" bestFit="1" customWidth="1"/>
    <col min="12" max="12" width="21.1796875" customWidth="1"/>
    <col min="13" max="17" width="10.08984375" bestFit="1" customWidth="1"/>
    <col min="18" max="18" width="10.7265625" bestFit="1" customWidth="1"/>
  </cols>
  <sheetData>
    <row r="1" spans="1:18" s="2" customFormat="1" x14ac:dyDescent="0.35">
      <c r="A1" s="2" t="s">
        <v>0</v>
      </c>
      <c r="B1" s="2" t="s">
        <v>1</v>
      </c>
      <c r="C1" s="2" t="s">
        <v>2</v>
      </c>
      <c r="D1" s="2" t="s">
        <v>3</v>
      </c>
      <c r="E1" s="2" t="s">
        <v>4</v>
      </c>
      <c r="F1" s="2" t="s">
        <v>5</v>
      </c>
      <c r="I1" s="12" t="s">
        <v>54</v>
      </c>
      <c r="J1" t="s">
        <v>57</v>
      </c>
      <c r="K1" s="2" t="s">
        <v>56</v>
      </c>
      <c r="L1" s="2" t="s">
        <v>58</v>
      </c>
      <c r="M1"/>
      <c r="N1"/>
      <c r="O1"/>
      <c r="P1"/>
      <c r="Q1"/>
      <c r="R1"/>
    </row>
    <row r="2" spans="1:18" x14ac:dyDescent="0.35">
      <c r="A2" t="s">
        <v>6</v>
      </c>
      <c r="B2" t="s">
        <v>7</v>
      </c>
      <c r="C2" t="s">
        <v>8</v>
      </c>
      <c r="D2" s="1">
        <v>46204</v>
      </c>
      <c r="E2">
        <v>2</v>
      </c>
      <c r="F2">
        <v>1200</v>
      </c>
      <c r="I2" s="13" t="s">
        <v>51</v>
      </c>
      <c r="J2">
        <v>2540</v>
      </c>
      <c r="K2" s="14">
        <f>GETPIVOTDATA("Sales_Amount",$I$1,"Months (Order_Date)",7)/GETPIVOTDATA("Sales_Amount",$I$1)</f>
        <v>0.34604904632152589</v>
      </c>
      <c r="L2">
        <f>GETPIVOTDATA("Sales_Amount",$I$1,"Months (Order_Date)",7)-E2:$E$9*200</f>
        <v>2140</v>
      </c>
    </row>
    <row r="3" spans="1:18" x14ac:dyDescent="0.35">
      <c r="A3" t="s">
        <v>9</v>
      </c>
      <c r="B3" t="s">
        <v>10</v>
      </c>
      <c r="C3" t="s">
        <v>11</v>
      </c>
      <c r="D3" s="1">
        <v>46206</v>
      </c>
      <c r="E3">
        <v>1</v>
      </c>
      <c r="F3">
        <v>450</v>
      </c>
      <c r="I3" s="13" t="s">
        <v>52</v>
      </c>
      <c r="J3">
        <v>3600</v>
      </c>
      <c r="K3" s="14">
        <f>GETPIVOTDATA("Sales_Amount",$I$1,"Months (Order_Date)",8)/GETPIVOTDATA("Sales_Amount",$I$1)</f>
        <v>0.49046321525885561</v>
      </c>
      <c r="L3">
        <f>GETPIVOTDATA("Sales_Amount",$I$1,"Months (Order_Date)",7)-E2:$E$9*200</f>
        <v>2340</v>
      </c>
    </row>
    <row r="4" spans="1:18" x14ac:dyDescent="0.35">
      <c r="A4" t="s">
        <v>12</v>
      </c>
      <c r="B4" t="s">
        <v>7</v>
      </c>
      <c r="C4" t="s">
        <v>13</v>
      </c>
      <c r="D4" s="1">
        <v>46218</v>
      </c>
      <c r="E4">
        <v>3</v>
      </c>
      <c r="F4">
        <v>890</v>
      </c>
      <c r="I4" s="13" t="s">
        <v>53</v>
      </c>
      <c r="J4">
        <v>1200</v>
      </c>
      <c r="K4" s="14">
        <f>GETPIVOTDATA("Sales_Amount",$I$1,"Months (Order_Date)",9)/GETPIVOTDATA("Sales_Amount",$I$1)</f>
        <v>0.16348773841961853</v>
      </c>
      <c r="L4">
        <f>GETPIVOTDATA("Sales_Amount",$I$1,"Months (Order_Date)",7)-E4:$E$9*200</f>
        <v>1940</v>
      </c>
    </row>
    <row r="5" spans="1:18" x14ac:dyDescent="0.35">
      <c r="A5" t="s">
        <v>14</v>
      </c>
      <c r="B5" t="s">
        <v>15</v>
      </c>
      <c r="C5" t="s">
        <v>8</v>
      </c>
      <c r="D5" s="1">
        <v>46236</v>
      </c>
      <c r="E5">
        <v>1</v>
      </c>
      <c r="F5">
        <v>600</v>
      </c>
      <c r="I5" s="13" t="s">
        <v>50</v>
      </c>
      <c r="J5">
        <v>7340</v>
      </c>
      <c r="K5" s="14">
        <v>1</v>
      </c>
    </row>
    <row r="6" spans="1:18" x14ac:dyDescent="0.35">
      <c r="A6" t="s">
        <v>16</v>
      </c>
      <c r="B6" t="s">
        <v>17</v>
      </c>
      <c r="C6" t="s">
        <v>11</v>
      </c>
      <c r="D6" s="1">
        <v>46244</v>
      </c>
      <c r="E6">
        <v>4</v>
      </c>
      <c r="F6">
        <v>1800</v>
      </c>
    </row>
    <row r="7" spans="1:18" x14ac:dyDescent="0.35">
      <c r="A7" t="s">
        <v>18</v>
      </c>
      <c r="B7" t="s">
        <v>10</v>
      </c>
      <c r="C7" t="s">
        <v>8</v>
      </c>
      <c r="D7" s="1">
        <v>46256</v>
      </c>
      <c r="E7">
        <v>2</v>
      </c>
      <c r="F7">
        <v>1200</v>
      </c>
    </row>
    <row r="8" spans="1:18" x14ac:dyDescent="0.35">
      <c r="A8" t="s">
        <v>19</v>
      </c>
      <c r="B8" t="s">
        <v>20</v>
      </c>
      <c r="C8" t="s">
        <v>13</v>
      </c>
      <c r="D8" s="1">
        <v>46270</v>
      </c>
      <c r="E8">
        <v>1</v>
      </c>
      <c r="F8">
        <v>300</v>
      </c>
    </row>
    <row r="9" spans="1:18" x14ac:dyDescent="0.35">
      <c r="A9" t="s">
        <v>21</v>
      </c>
      <c r="B9" t="s">
        <v>15</v>
      </c>
      <c r="C9" t="s">
        <v>11</v>
      </c>
      <c r="D9" s="1">
        <v>46283</v>
      </c>
      <c r="E9">
        <v>2</v>
      </c>
      <c r="F9">
        <v>900</v>
      </c>
    </row>
    <row r="12" spans="1:18" x14ac:dyDescent="0.35">
      <c r="A12" s="12" t="s">
        <v>54</v>
      </c>
      <c r="B12" t="s">
        <v>55</v>
      </c>
      <c r="C12" t="s">
        <v>66</v>
      </c>
      <c r="D12" t="s">
        <v>65</v>
      </c>
    </row>
    <row r="13" spans="1:18" x14ac:dyDescent="0.35">
      <c r="A13" s="13" t="s">
        <v>34</v>
      </c>
      <c r="B13" s="15">
        <v>1500</v>
      </c>
      <c r="C13" s="15">
        <v>1050</v>
      </c>
      <c r="D13" s="15">
        <v>450</v>
      </c>
    </row>
    <row r="14" spans="1:18" x14ac:dyDescent="0.35">
      <c r="A14" s="13" t="s">
        <v>27</v>
      </c>
      <c r="B14" s="15">
        <v>2390</v>
      </c>
      <c r="C14" s="15">
        <v>1290</v>
      </c>
      <c r="D14" s="15">
        <v>1100</v>
      </c>
    </row>
    <row r="15" spans="1:18" x14ac:dyDescent="0.35">
      <c r="A15" s="13" t="s">
        <v>31</v>
      </c>
      <c r="B15" s="15">
        <v>1650</v>
      </c>
      <c r="C15" s="15">
        <v>1050</v>
      </c>
      <c r="D15" s="15">
        <v>600</v>
      </c>
    </row>
    <row r="16" spans="1:18" x14ac:dyDescent="0.35">
      <c r="A16" s="13" t="s">
        <v>37</v>
      </c>
      <c r="B16" s="15">
        <v>1800</v>
      </c>
      <c r="C16" s="15">
        <v>1400</v>
      </c>
      <c r="D16" s="15">
        <v>400</v>
      </c>
    </row>
    <row r="17" spans="1:4" x14ac:dyDescent="0.35">
      <c r="A17" s="13" t="s">
        <v>50</v>
      </c>
      <c r="B17" s="17">
        <v>7340</v>
      </c>
      <c r="C17" s="17">
        <v>4790</v>
      </c>
      <c r="D17" s="17">
        <v>2550</v>
      </c>
    </row>
  </sheetData>
  <pageMargins left="0.7" right="0.7" top="0.75" bottom="0.75" header="0.3" footer="0.3"/>
  <ignoredErrors>
    <ignoredError sqref="L3" formula="1"/>
    <ignoredError sqref="L4" formulaRange="1"/>
  </ignoredErrors>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79D64-DA45-4349-A736-1FF9A2E16375}">
  <dimension ref="A1:I20"/>
  <sheetViews>
    <sheetView workbookViewId="0">
      <selection activeCell="A3" sqref="A3"/>
    </sheetView>
  </sheetViews>
  <sheetFormatPr defaultRowHeight="14.5" x14ac:dyDescent="0.35"/>
  <cols>
    <col min="1" max="1" width="13.81640625" customWidth="1"/>
    <col min="2" max="2" width="16.90625" customWidth="1"/>
    <col min="3" max="3" width="8.453125" customWidth="1"/>
    <col min="4" max="4" width="19.26953125" customWidth="1"/>
    <col min="5" max="5" width="17.1796875" customWidth="1"/>
  </cols>
  <sheetData>
    <row r="1" spans="1:9" s="2" customFormat="1" x14ac:dyDescent="0.35">
      <c r="A1" s="2" t="s">
        <v>1</v>
      </c>
      <c r="B1" s="2" t="s">
        <v>22</v>
      </c>
      <c r="C1" s="2" t="s">
        <v>23</v>
      </c>
      <c r="D1" s="2" t="s">
        <v>24</v>
      </c>
      <c r="E1" s="2" t="s">
        <v>25</v>
      </c>
    </row>
    <row r="2" spans="1:9" x14ac:dyDescent="0.35">
      <c r="A2" t="s">
        <v>7</v>
      </c>
      <c r="B2" t="s">
        <v>26</v>
      </c>
      <c r="C2" t="s">
        <v>27</v>
      </c>
      <c r="D2" t="s">
        <v>28</v>
      </c>
      <c r="E2" t="s">
        <v>29</v>
      </c>
    </row>
    <row r="3" spans="1:9" x14ac:dyDescent="0.35">
      <c r="A3" t="s">
        <v>10</v>
      </c>
      <c r="B3" t="s">
        <v>30</v>
      </c>
      <c r="C3" t="s">
        <v>31</v>
      </c>
      <c r="D3" t="s">
        <v>32</v>
      </c>
      <c r="E3" t="s">
        <v>29</v>
      </c>
      <c r="G3" s="3"/>
      <c r="H3" s="4"/>
      <c r="I3" s="5"/>
    </row>
    <row r="4" spans="1:9" x14ac:dyDescent="0.35">
      <c r="A4" t="s">
        <v>15</v>
      </c>
      <c r="B4" t="s">
        <v>33</v>
      </c>
      <c r="C4" t="s">
        <v>34</v>
      </c>
      <c r="D4" t="s">
        <v>28</v>
      </c>
      <c r="E4" t="s">
        <v>35</v>
      </c>
      <c r="G4" s="6"/>
      <c r="H4" s="7"/>
      <c r="I4" s="8"/>
    </row>
    <row r="5" spans="1:9" x14ac:dyDescent="0.35">
      <c r="A5" t="s">
        <v>17</v>
      </c>
      <c r="B5" t="s">
        <v>36</v>
      </c>
      <c r="C5" t="s">
        <v>37</v>
      </c>
      <c r="D5" t="s">
        <v>38</v>
      </c>
      <c r="E5" t="s">
        <v>35</v>
      </c>
      <c r="G5" s="6"/>
      <c r="H5" s="7"/>
      <c r="I5" s="8"/>
    </row>
    <row r="6" spans="1:9" x14ac:dyDescent="0.35">
      <c r="A6" t="s">
        <v>20</v>
      </c>
      <c r="B6" t="s">
        <v>39</v>
      </c>
      <c r="C6" t="s">
        <v>27</v>
      </c>
      <c r="D6" t="s">
        <v>32</v>
      </c>
      <c r="E6" t="s">
        <v>40</v>
      </c>
      <c r="G6" s="6"/>
      <c r="H6" s="7"/>
      <c r="I6" s="8"/>
    </row>
    <row r="7" spans="1:9" x14ac:dyDescent="0.35">
      <c r="G7" s="6"/>
      <c r="H7" s="7"/>
      <c r="I7" s="8"/>
    </row>
    <row r="8" spans="1:9" x14ac:dyDescent="0.35">
      <c r="G8" s="6"/>
      <c r="H8" s="7"/>
      <c r="I8" s="8"/>
    </row>
    <row r="9" spans="1:9" x14ac:dyDescent="0.35">
      <c r="G9" s="6"/>
      <c r="H9" s="7"/>
      <c r="I9" s="8"/>
    </row>
    <row r="10" spans="1:9" x14ac:dyDescent="0.35">
      <c r="G10" s="6"/>
      <c r="H10" s="7"/>
      <c r="I10" s="8"/>
    </row>
    <row r="11" spans="1:9" x14ac:dyDescent="0.35">
      <c r="G11" s="6"/>
      <c r="H11" s="7"/>
      <c r="I11" s="8"/>
    </row>
    <row r="12" spans="1:9" x14ac:dyDescent="0.35">
      <c r="G12" s="6"/>
      <c r="H12" s="7"/>
      <c r="I12" s="8"/>
    </row>
    <row r="13" spans="1:9" x14ac:dyDescent="0.35">
      <c r="G13" s="6"/>
      <c r="H13" s="7"/>
      <c r="I13" s="8"/>
    </row>
    <row r="14" spans="1:9" x14ac:dyDescent="0.35">
      <c r="G14" s="6"/>
      <c r="H14" s="7"/>
      <c r="I14" s="8"/>
    </row>
    <row r="15" spans="1:9" x14ac:dyDescent="0.35">
      <c r="G15" s="6"/>
      <c r="H15" s="7"/>
      <c r="I15" s="8"/>
    </row>
    <row r="16" spans="1:9" x14ac:dyDescent="0.35">
      <c r="G16" s="6"/>
      <c r="H16" s="7"/>
      <c r="I16" s="8"/>
    </row>
    <row r="17" spans="7:9" x14ac:dyDescent="0.35">
      <c r="G17" s="6"/>
      <c r="H17" s="7"/>
      <c r="I17" s="8"/>
    </row>
    <row r="18" spans="7:9" x14ac:dyDescent="0.35">
      <c r="G18" s="6"/>
      <c r="H18" s="7"/>
      <c r="I18" s="8"/>
    </row>
    <row r="19" spans="7:9" x14ac:dyDescent="0.35">
      <c r="G19" s="6"/>
      <c r="H19" s="7"/>
      <c r="I19" s="8"/>
    </row>
    <row r="20" spans="7:9" x14ac:dyDescent="0.35">
      <c r="G20" s="9"/>
      <c r="H20" s="10"/>
      <c r="I20" s="11"/>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924F6-6C69-4EB4-94F5-AAC318009396}">
  <dimension ref="A1:H19"/>
  <sheetViews>
    <sheetView workbookViewId="0">
      <selection activeCell="C8" sqref="C8"/>
    </sheetView>
  </sheetViews>
  <sheetFormatPr defaultRowHeight="14.5" x14ac:dyDescent="0.35"/>
  <cols>
    <col min="1" max="1" width="12.26953125" customWidth="1"/>
    <col min="2" max="2" width="21.453125" bestFit="1" customWidth="1"/>
    <col min="3" max="3" width="10.26953125" customWidth="1"/>
    <col min="4" max="4" width="11.08984375" customWidth="1"/>
  </cols>
  <sheetData>
    <row r="1" spans="1:8" s="2" customFormat="1" x14ac:dyDescent="0.35">
      <c r="A1" s="2" t="s">
        <v>2</v>
      </c>
      <c r="B1" s="2" t="s">
        <v>41</v>
      </c>
      <c r="C1" s="2" t="s">
        <v>42</v>
      </c>
      <c r="D1" s="2" t="s">
        <v>43</v>
      </c>
    </row>
    <row r="2" spans="1:8" x14ac:dyDescent="0.35">
      <c r="A2" t="s">
        <v>8</v>
      </c>
      <c r="B2" t="s">
        <v>44</v>
      </c>
      <c r="C2" t="s">
        <v>45</v>
      </c>
      <c r="D2">
        <v>250</v>
      </c>
      <c r="F2" s="3"/>
      <c r="G2" s="4"/>
      <c r="H2" s="5"/>
    </row>
    <row r="3" spans="1:8" x14ac:dyDescent="0.35">
      <c r="A3" t="s">
        <v>11</v>
      </c>
      <c r="B3" t="s">
        <v>46</v>
      </c>
      <c r="C3" t="s">
        <v>45</v>
      </c>
      <c r="D3">
        <v>100</v>
      </c>
      <c r="F3" s="6"/>
      <c r="G3" s="7"/>
      <c r="H3" s="8"/>
    </row>
    <row r="4" spans="1:8" x14ac:dyDescent="0.35">
      <c r="A4" t="s">
        <v>13</v>
      </c>
      <c r="B4" t="s">
        <v>47</v>
      </c>
      <c r="C4" t="s">
        <v>48</v>
      </c>
      <c r="D4">
        <v>150</v>
      </c>
      <c r="F4" s="6"/>
      <c r="G4" s="7"/>
      <c r="H4" s="8"/>
    </row>
    <row r="5" spans="1:8" x14ac:dyDescent="0.35">
      <c r="F5" s="6"/>
      <c r="G5" s="7"/>
      <c r="H5" s="8"/>
    </row>
    <row r="6" spans="1:8" x14ac:dyDescent="0.35">
      <c r="F6" s="6"/>
      <c r="G6" s="7"/>
      <c r="H6" s="8"/>
    </row>
    <row r="7" spans="1:8" x14ac:dyDescent="0.35">
      <c r="F7" s="6"/>
      <c r="G7" s="7"/>
      <c r="H7" s="8"/>
    </row>
    <row r="8" spans="1:8" x14ac:dyDescent="0.35">
      <c r="F8" s="6"/>
      <c r="G8" s="7"/>
      <c r="H8" s="8"/>
    </row>
    <row r="9" spans="1:8" x14ac:dyDescent="0.35">
      <c r="F9" s="6"/>
      <c r="G9" s="7"/>
      <c r="H9" s="8"/>
    </row>
    <row r="10" spans="1:8" x14ac:dyDescent="0.35">
      <c r="F10" s="6"/>
      <c r="G10" s="7"/>
      <c r="H10" s="8"/>
    </row>
    <row r="11" spans="1:8" x14ac:dyDescent="0.35">
      <c r="F11" s="6"/>
      <c r="G11" s="7"/>
      <c r="H11" s="8"/>
    </row>
    <row r="12" spans="1:8" x14ac:dyDescent="0.35">
      <c r="F12" s="6"/>
      <c r="G12" s="7"/>
      <c r="H12" s="8"/>
    </row>
    <row r="13" spans="1:8" x14ac:dyDescent="0.35">
      <c r="F13" s="6"/>
      <c r="G13" s="7"/>
      <c r="H13" s="8"/>
    </row>
    <row r="14" spans="1:8" x14ac:dyDescent="0.35">
      <c r="F14" s="6"/>
      <c r="G14" s="7"/>
      <c r="H14" s="8"/>
    </row>
    <row r="15" spans="1:8" x14ac:dyDescent="0.35">
      <c r="F15" s="6"/>
      <c r="G15" s="7"/>
      <c r="H15" s="8"/>
    </row>
    <row r="16" spans="1:8" x14ac:dyDescent="0.35">
      <c r="F16" s="6"/>
      <c r="G16" s="7"/>
      <c r="H16" s="8"/>
    </row>
    <row r="17" spans="6:8" x14ac:dyDescent="0.35">
      <c r="F17" s="6"/>
      <c r="G17" s="7"/>
      <c r="H17" s="8"/>
    </row>
    <row r="18" spans="6:8" x14ac:dyDescent="0.35">
      <c r="F18" s="6"/>
      <c r="G18" s="7"/>
      <c r="H18" s="8"/>
    </row>
    <row r="19" spans="6:8" x14ac:dyDescent="0.35">
      <c r="F19" s="9"/>
      <c r="G19" s="10"/>
      <c r="H19" s="11"/>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8AB6E-B409-4AE3-824C-A4BB10014927}">
  <dimension ref="B3:D4"/>
  <sheetViews>
    <sheetView workbookViewId="0">
      <selection activeCell="C3" sqref="C3"/>
    </sheetView>
  </sheetViews>
  <sheetFormatPr defaultRowHeight="14.5" x14ac:dyDescent="0.35"/>
  <cols>
    <col min="2" max="2" width="20.1796875" bestFit="1" customWidth="1"/>
    <col min="3" max="3" width="25.453125" bestFit="1" customWidth="1"/>
    <col min="4" max="4" width="17.7265625" bestFit="1" customWidth="1"/>
  </cols>
  <sheetData>
    <row r="3" spans="2:4" x14ac:dyDescent="0.35">
      <c r="B3" t="s">
        <v>61</v>
      </c>
      <c r="C3" t="s">
        <v>63</v>
      </c>
      <c r="D3" t="s">
        <v>62</v>
      </c>
    </row>
    <row r="4" spans="2:4" x14ac:dyDescent="0.35">
      <c r="B4" s="15">
        <v>2</v>
      </c>
      <c r="C4" s="15">
        <v>1</v>
      </c>
      <c r="D4" s="16">
        <v>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4BE81-0CDC-4FA3-B01C-B8AD382C4DA9}">
  <dimension ref="A1:F17"/>
  <sheetViews>
    <sheetView workbookViewId="0">
      <selection activeCell="F16" sqref="F16"/>
    </sheetView>
  </sheetViews>
  <sheetFormatPr defaultRowHeight="14.5" x14ac:dyDescent="0.35"/>
  <cols>
    <col min="1" max="1" width="19.26953125" bestFit="1" customWidth="1"/>
    <col min="2" max="2" width="15.26953125" bestFit="1" customWidth="1"/>
    <col min="3" max="3" width="5.81640625" bestFit="1" customWidth="1"/>
    <col min="4" max="5" width="10.7265625" bestFit="1" customWidth="1"/>
    <col min="6" max="6" width="10.08984375" bestFit="1" customWidth="1"/>
    <col min="7" max="7" width="10.7265625" bestFit="1" customWidth="1"/>
    <col min="8" max="9" width="10.08984375" bestFit="1" customWidth="1"/>
    <col min="10" max="10" width="10.7265625" bestFit="1" customWidth="1"/>
  </cols>
  <sheetData>
    <row r="1" spans="1:6" x14ac:dyDescent="0.35">
      <c r="A1" s="12" t="s">
        <v>59</v>
      </c>
      <c r="B1" s="12" t="s">
        <v>49</v>
      </c>
    </row>
    <row r="2" spans="1:6" x14ac:dyDescent="0.35">
      <c r="A2" s="12" t="s">
        <v>54</v>
      </c>
      <c r="B2" t="s">
        <v>51</v>
      </c>
      <c r="C2" t="s">
        <v>52</v>
      </c>
      <c r="D2" t="s">
        <v>53</v>
      </c>
      <c r="E2" t="s">
        <v>50</v>
      </c>
    </row>
    <row r="3" spans="1:6" x14ac:dyDescent="0.35">
      <c r="A3" s="13" t="s">
        <v>29</v>
      </c>
      <c r="B3" s="15">
        <v>2</v>
      </c>
      <c r="C3" s="15">
        <v>1</v>
      </c>
      <c r="D3" s="15"/>
      <c r="E3" s="15">
        <v>2</v>
      </c>
    </row>
    <row r="4" spans="1:6" x14ac:dyDescent="0.35">
      <c r="A4" s="13" t="s">
        <v>35</v>
      </c>
      <c r="B4" s="15"/>
      <c r="C4" s="15">
        <v>2</v>
      </c>
      <c r="D4" s="15">
        <v>1</v>
      </c>
      <c r="E4" s="15">
        <v>2</v>
      </c>
    </row>
    <row r="5" spans="1:6" x14ac:dyDescent="0.35">
      <c r="A5" s="13" t="s">
        <v>40</v>
      </c>
      <c r="B5" s="15"/>
      <c r="C5" s="15"/>
      <c r="D5" s="15">
        <v>1</v>
      </c>
      <c r="E5" s="15">
        <v>1</v>
      </c>
    </row>
    <row r="6" spans="1:6" x14ac:dyDescent="0.35">
      <c r="A6" s="13" t="s">
        <v>50</v>
      </c>
      <c r="B6" s="15">
        <v>2</v>
      </c>
      <c r="C6" s="15">
        <v>3</v>
      </c>
      <c r="D6" s="15">
        <v>2</v>
      </c>
      <c r="E6" s="15">
        <v>5</v>
      </c>
    </row>
    <row r="8" spans="1:6" x14ac:dyDescent="0.35">
      <c r="A8" s="2" t="s">
        <v>60</v>
      </c>
    </row>
    <row r="10" spans="1:6" x14ac:dyDescent="0.35">
      <c r="A10" s="12" t="s">
        <v>55</v>
      </c>
      <c r="B10" s="12" t="s">
        <v>49</v>
      </c>
    </row>
    <row r="11" spans="1:6" x14ac:dyDescent="0.35">
      <c r="B11" t="s">
        <v>51</v>
      </c>
      <c r="C11" t="s">
        <v>52</v>
      </c>
      <c r="D11" t="s">
        <v>50</v>
      </c>
    </row>
    <row r="12" spans="1:6" x14ac:dyDescent="0.35">
      <c r="A12" s="12" t="s">
        <v>54</v>
      </c>
    </row>
    <row r="13" spans="1:6" x14ac:dyDescent="0.35">
      <c r="A13" s="13" t="s">
        <v>7</v>
      </c>
      <c r="B13" s="15">
        <v>2090</v>
      </c>
      <c r="C13" s="15"/>
      <c r="D13" s="15">
        <v>2090</v>
      </c>
      <c r="E13">
        <v>2</v>
      </c>
      <c r="F13">
        <v>2</v>
      </c>
    </row>
    <row r="14" spans="1:6" x14ac:dyDescent="0.35">
      <c r="A14" s="13" t="s">
        <v>10</v>
      </c>
      <c r="B14" s="15">
        <v>450</v>
      </c>
      <c r="C14" s="15">
        <v>1200</v>
      </c>
      <c r="D14" s="15">
        <v>1650</v>
      </c>
    </row>
    <row r="15" spans="1:6" x14ac:dyDescent="0.35">
      <c r="A15" s="13" t="s">
        <v>15</v>
      </c>
      <c r="B15" s="15"/>
      <c r="C15" s="15">
        <v>600</v>
      </c>
      <c r="D15" s="15">
        <v>600</v>
      </c>
      <c r="E15" t="s">
        <v>64</v>
      </c>
    </row>
    <row r="16" spans="1:6" x14ac:dyDescent="0.35">
      <c r="A16" s="13" t="s">
        <v>17</v>
      </c>
      <c r="B16" s="15"/>
      <c r="C16" s="15">
        <v>1800</v>
      </c>
      <c r="D16" s="15">
        <v>1800</v>
      </c>
      <c r="F16" s="1"/>
    </row>
    <row r="17" spans="1:4" x14ac:dyDescent="0.35">
      <c r="A17" s="13" t="s">
        <v>50</v>
      </c>
      <c r="B17" s="15">
        <v>2540</v>
      </c>
      <c r="C17" s="15">
        <v>3600</v>
      </c>
      <c r="D17" s="15">
        <v>6140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22BCFE8A-D7AF-4A47-A0D8-B72D66FF3C76}">
  <ds:schemaRefs/>
</ds:datastoreItem>
</file>

<file path=customXml/itemProps2.xml><?xml version="1.0" encoding="utf-8"?>
<ds:datastoreItem xmlns:ds="http://schemas.openxmlformats.org/officeDocument/2006/customXml" ds:itemID="{A0689012-C73B-487C-88BB-C3016C1CC4FF}">
  <ds:schemaRefs/>
</ds:datastoreItem>
</file>

<file path=customXml/itemProps3.xml><?xml version="1.0" encoding="utf-8"?>
<ds:datastoreItem xmlns:ds="http://schemas.openxmlformats.org/officeDocument/2006/customXml" ds:itemID="{840A8DCB-25D4-4507-B0FA-D041CEB487DE}">
  <ds:schemaRefs/>
</ds:datastoreItem>
</file>

<file path=customXml/itemProps4.xml><?xml version="1.0" encoding="utf-8"?>
<ds:datastoreItem xmlns:ds="http://schemas.openxmlformats.org/officeDocument/2006/customXml" ds:itemID="{2B844BFB-E9F3-449E-A9F2-E90D2220970B}">
  <ds:schemaRefs/>
</ds:datastoreItem>
</file>

<file path=customXml/itemProps5.xml><?xml version="1.0" encoding="utf-8"?>
<ds:datastoreItem xmlns:ds="http://schemas.openxmlformats.org/officeDocument/2006/customXml" ds:itemID="{2BB2922A-47E0-48D9-917C-BA9F416CE718}">
  <ds:schemaRefs/>
</ds:datastoreItem>
</file>

<file path=customXml/itemProps6.xml><?xml version="1.0" encoding="utf-8"?>
<ds:datastoreItem xmlns:ds="http://schemas.openxmlformats.org/officeDocument/2006/customXml" ds:itemID="{B8EAA0F8-43CB-48D2-A31C-EA67FD7CB264}">
  <ds:schemaRefs/>
</ds:datastoreItem>
</file>

<file path=customXml/itemProps7.xml><?xml version="1.0" encoding="utf-8"?>
<ds:datastoreItem xmlns:ds="http://schemas.openxmlformats.org/officeDocument/2006/customXml" ds:itemID="{EF19D9DE-E387-4F5C-B5C9-C27E11362C88}">
  <ds:schemaRefs/>
</ds:datastoreItem>
</file>

<file path=customXml/itemProps8.xml><?xml version="1.0" encoding="utf-8"?>
<ds:datastoreItem xmlns:ds="http://schemas.openxmlformats.org/officeDocument/2006/customXml" ds:itemID="{0BBEF138-7E94-4A4A-8804-6679F3116594}">
  <ds:schemaRefs/>
</ds:datastoreItem>
</file>

<file path=customXml/itemProps9.xml><?xml version="1.0" encoding="utf-8"?>
<ds:datastoreItem xmlns:ds="http://schemas.openxmlformats.org/officeDocument/2006/customXml" ds:itemID="{F4228ECF-C7D2-4FD5-84FB-C876E8815E30}">
  <ds:schemaRefs/>
</ds:datastoreItem>
</file>

<file path=customXml/itemProps10.xml><?xml version="1.0" encoding="utf-8"?>
<ds:datastoreItem xmlns:ds="http://schemas.openxmlformats.org/officeDocument/2006/customXml" ds:itemID="{615828BB-F6F1-4A40-BB33-4395ACFE1C3D}">
  <ds:schemaRefs/>
</ds:datastoreItem>
</file>

<file path=customXml/itemProps11.xml><?xml version="1.0" encoding="utf-8"?>
<ds:datastoreItem xmlns:ds="http://schemas.openxmlformats.org/officeDocument/2006/customXml" ds:itemID="{9688485D-49D3-4F01-89C3-BFDC9DFC331F}">
  <ds:schemaRefs/>
</ds:datastoreItem>
</file>

<file path=customXml/itemProps12.xml><?xml version="1.0" encoding="utf-8"?>
<ds:datastoreItem xmlns:ds="http://schemas.openxmlformats.org/officeDocument/2006/customXml" ds:itemID="{0FEBC542-42E4-4A49-A251-64B7E4FC2655}">
  <ds:schemaRefs/>
</ds:datastoreItem>
</file>

<file path=customXml/itemProps13.xml><?xml version="1.0" encoding="utf-8"?>
<ds:datastoreItem xmlns:ds="http://schemas.openxmlformats.org/officeDocument/2006/customXml" ds:itemID="{FD8D2B06-0043-475C-88ED-D24D6B6C23E9}">
  <ds:schemaRefs/>
</ds:datastoreItem>
</file>

<file path=customXml/itemProps14.xml><?xml version="1.0" encoding="utf-8"?>
<ds:datastoreItem xmlns:ds="http://schemas.openxmlformats.org/officeDocument/2006/customXml" ds:itemID="{2741EF9F-A275-49EA-A51A-5EFD089DA803}">
  <ds:schemaRefs/>
</ds:datastoreItem>
</file>

<file path=customXml/itemProps15.xml><?xml version="1.0" encoding="utf-8"?>
<ds:datastoreItem xmlns:ds="http://schemas.openxmlformats.org/officeDocument/2006/customXml" ds:itemID="{2F10EA6E-A109-4542-843C-20B1EED37CE5}">
  <ds:schemaRefs/>
</ds:datastoreItem>
</file>

<file path=customXml/itemProps16.xml><?xml version="1.0" encoding="utf-8"?>
<ds:datastoreItem xmlns:ds="http://schemas.openxmlformats.org/officeDocument/2006/customXml" ds:itemID="{797E0678-2546-4855-98E5-58C3F9AC48E4}">
  <ds:schemaRefs/>
</ds:datastoreItem>
</file>

<file path=customXml/itemProps17.xml><?xml version="1.0" encoding="utf-8"?>
<ds:datastoreItem xmlns:ds="http://schemas.openxmlformats.org/officeDocument/2006/customXml" ds:itemID="{90025FA7-F40D-4AF1-9084-F26CD950A119}">
  <ds:schemaRefs/>
</ds:datastoreItem>
</file>

<file path=customXml/itemProps18.xml><?xml version="1.0" encoding="utf-8"?>
<ds:datastoreItem xmlns:ds="http://schemas.openxmlformats.org/officeDocument/2006/customXml" ds:itemID="{77F548EC-47F2-4064-8803-8A296BD50C0A}">
  <ds:schemaRefs/>
</ds:datastoreItem>
</file>

<file path=customXml/itemProps19.xml><?xml version="1.0" encoding="utf-8"?>
<ds:datastoreItem xmlns:ds="http://schemas.openxmlformats.org/officeDocument/2006/customXml" ds:itemID="{EC4DEA1F-8078-4F17-A4FD-29E505347E6D}">
  <ds:schemaRefs/>
</ds:datastoreItem>
</file>

<file path=customXml/itemProps20.xml><?xml version="1.0" encoding="utf-8"?>
<ds:datastoreItem xmlns:ds="http://schemas.openxmlformats.org/officeDocument/2006/customXml" ds:itemID="{07844731-1DDD-4A48-8632-135C7877D4CE}">
  <ds:schemaRefs/>
</ds:datastoreItem>
</file>

<file path=customXml/itemProps21.xml><?xml version="1.0" encoding="utf-8"?>
<ds:datastoreItem xmlns:ds="http://schemas.openxmlformats.org/officeDocument/2006/customXml" ds:itemID="{5AB82207-4E5B-485A-8C45-01D6693C9E27}">
  <ds:schemaRefs/>
</ds:datastoreItem>
</file>

<file path=customXml/itemProps22.xml><?xml version="1.0" encoding="utf-8"?>
<ds:datastoreItem xmlns:ds="http://schemas.openxmlformats.org/officeDocument/2006/customXml" ds:itemID="{0A178E3D-FFF2-43F8-A554-7D00DCB2956D}">
  <ds:schemaRefs/>
</ds:datastoreItem>
</file>

<file path=customXml/itemProps23.xml><?xml version="1.0" encoding="utf-8"?>
<ds:datastoreItem xmlns:ds="http://schemas.openxmlformats.org/officeDocument/2006/customXml" ds:itemID="{EE711868-9A08-4C90-9ABC-7AE640B1D836}">
  <ds:schemaRefs/>
</ds:datastoreItem>
</file>

<file path=customXml/itemProps24.xml><?xml version="1.0" encoding="utf-8"?>
<ds:datastoreItem xmlns:ds="http://schemas.openxmlformats.org/officeDocument/2006/customXml" ds:itemID="{9638CF89-763E-44AA-8211-1EFA34192F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Multi Table Pivot</vt:lpstr>
      <vt:lpstr>Fact_Orders</vt:lpstr>
      <vt:lpstr>Dim_Customers</vt:lpstr>
      <vt:lpstr>Dim_Products</vt:lpstr>
      <vt:lpstr>Sheet2</vt:lpstr>
      <vt:lpstr>Retention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Pavani Guntur</dc:creator>
  <cp:lastModifiedBy>Pavani Guntur</cp:lastModifiedBy>
  <dcterms:created xsi:type="dcterms:W3CDTF">2026-10-13T15:49:26Z</dcterms:created>
  <dcterms:modified xsi:type="dcterms:W3CDTF">2026-10-14T10:22:57Z</dcterms:modified>
</cp:coreProperties>
</file>