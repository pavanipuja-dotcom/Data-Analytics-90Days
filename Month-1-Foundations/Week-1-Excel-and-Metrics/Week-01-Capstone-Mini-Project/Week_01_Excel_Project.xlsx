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6e600efda6db5db/Documents/"/>
    </mc:Choice>
  </mc:AlternateContent>
  <xr:revisionPtr revIDLastSave="3" documentId="8_{909595B8-A3F2-47B4-873D-FF73E8B17566}" xr6:coauthVersionLast="47" xr6:coauthVersionMax="47" xr10:uidLastSave="{7093B39B-8053-41C6-826B-12AE3A898139}"/>
  <bookViews>
    <workbookView xWindow="22932" yWindow="-108" windowWidth="30936" windowHeight="16776" firstSheet="1" activeTab="1" xr2:uid="{7BE7F626-0469-471F-ACBD-89A92274897D}"/>
  </bookViews>
  <sheets>
    <sheet name="raw_capstone_orders" sheetId="2" state="hidden" r:id="rId1"/>
    <sheet name="Summary" sheetId="6" r:id="rId2"/>
    <sheet name="Executive_Dashboard" sheetId="4" r:id="rId3"/>
    <sheet name="Sheet4" sheetId="5" state="hidden" r:id="rId4"/>
  </sheets>
  <definedNames>
    <definedName name="Slicer_Region1">#N/A</definedName>
    <definedName name="Slicer_Sales_Channel1">#N/A</definedName>
    <definedName name="Timeline_Order_Date_Raw1">#N/A</definedName>
  </definedNames>
  <calcPr calcId="191029"/>
  <pivotCaches>
    <pivotCache cacheId="585" r:id="rId5"/>
    <pivotCache cacheId="588" r:id="rId6"/>
    <pivotCache cacheId="591" r:id="rId7"/>
    <pivotCache cacheId="594" r:id="rId8"/>
    <pivotCache cacheId="597" r:id="rId9"/>
    <pivotCache cacheId="600" r:id="rId10"/>
    <pivotCache cacheId="603" r:id="rId11"/>
    <pivotCache cacheId="606" r:id="rId12"/>
    <pivotCache cacheId="609" r:id="rId13"/>
    <pivotCache cacheId="612" r:id="rId14"/>
  </pivotCaches>
  <extLst>
    <ext xmlns:x14="http://schemas.microsoft.com/office/spreadsheetml/2009/9/main" uri="{876F7934-8845-4945-9796-88D515C7AA90}">
      <x14:pivotCaches>
        <pivotCache cacheId="35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3"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dbe08ed5-6364-4e0c-b54c-5edd139ba397" name="Fact_Sales" connection="Query - Fact_Sales"/>
          <x15:modelTable id="Dim_Stores_513b96fd-5d37-4759-a9e2-e68359b3abb5" name="Dim_Stores" connection="Query - Dim_Stores"/>
          <x15:modelTable id="Dim_Products_abe8cef3-883a-4297-8031-4f952384b33f" name="Dim_Products" connection="Query - Dim_Products"/>
        </x15:modelTables>
        <x15:modelRelationships>
          <x15:modelRelationship fromTable="Fact_Sales" fromColumn="Store_Code" toTable="Dim_Stores" toColumn="Store_Code"/>
          <x15:modelRelationship fromTable="Fact_Sales" fromColumn="Product_Code" toTable="Dim_Products" toColumn="Product_Code"/>
        </x15:modelRelationships>
        <x15:extLst>
          <ext xmlns:x16="http://schemas.microsoft.com/office/spreadsheetml/2014/11/main" uri="{9835A34E-60A6-4A7C-AAB8-D5F71C897F49}">
            <x16:modelTimeGroupings>
              <x16:modelTimeGrouping tableName="Fact_Sales" columnName="Order_Date_Raw" columnId="Order_Date_Raw">
                <x16:calculatedTimeColumn columnName="Order_Date_Raw (Year)" columnId="Order_Date_Raw (Year)" contentType="years" isSelected="1"/>
                <x16:calculatedTimeColumn columnName="Order_Date_Raw (Quarter)" columnId="Order_Date_Raw (Quarter)" contentType="quarters" isSelected="1"/>
                <x16:calculatedTimeColumn columnName="Order_Date_Raw (Month Index)" columnId="Order_Date_Raw (Month Index)" contentType="monthsindex" isSelected="1"/>
                <x16:calculatedTimeColumn columnName="Order_Date_Raw (Month)" columnId="Order_Date_Raw (Month)" contentType="months" isSelected="1"/>
              </x16:modelTimeGrouping>
            </x16:modelTimeGroupings>
          </ext>
        </x15:extLst>
      </x15:dataModel>
    </ext>
  </extLst>
</workbook>
</file>

<file path=xl/calcChain.xml><?xml version="1.0" encoding="utf-8"?>
<calcChain xmlns="http://schemas.openxmlformats.org/spreadsheetml/2006/main">
  <c r="B5" i="4" l="1"/>
  <c r="Q5" i="4"/>
  <c r="L5" i="4"/>
  <c r="G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0C1DAB-3BF9-4E25-BF67-F01118C296AF}" name="Query - Dim_Products" description="Connection to the 'Dim_Products' query in the workbook." type="100" refreshedVersion="8" minRefreshableVersion="5">
    <extLst>
      <ext xmlns:x15="http://schemas.microsoft.com/office/spreadsheetml/2010/11/main" uri="{DE250136-89BD-433C-8126-D09CA5730AF9}">
        <x15:connection id="8ce9f4a0-5346-4e0e-8d3f-09ae4c45438b">
          <x15:oledbPr connection="Provider=Microsoft.Mashup.OleDb.1;Data Source=$Workbook$;Location=Dim_Products;Extended Properties=&quot;&quot;">
            <x15:dbTables>
              <x15:dbTable name="Dim_Products"/>
            </x15:dbTables>
          </x15:oledbPr>
        </x15:connection>
      </ext>
    </extLst>
  </connection>
  <connection id="2" xr16:uid="{0ABFABB9-654E-420D-A5B5-014AE1E7E43B}" name="Query - Dim_Stores" description="Connection to the 'Dim_Stores' query in the workbook." type="100" refreshedVersion="8" minRefreshableVersion="5">
    <extLst>
      <ext xmlns:x15="http://schemas.microsoft.com/office/spreadsheetml/2010/11/main" uri="{DE250136-89BD-433C-8126-D09CA5730AF9}">
        <x15:connection id="004335df-0f04-4ee3-8969-1edcf55cc2e1">
          <x15:oledbPr connection="Provider=Microsoft.Mashup.OleDb.1;Data Source=$Workbook$;Location=Dim_Stores;Extended Properties=&quot;&quot;">
            <x15:dbTables>
              <x15:dbTable name="Dim_Stores"/>
            </x15:dbTables>
          </x15:oledbPr>
        </x15:connection>
      </ext>
    </extLst>
  </connection>
  <connection id="3" xr16:uid="{B2646C9B-19B0-49AB-B365-93DAF8B68BBE}" name="Query - Fact_Sales" description="Connection to the 'Fact_Sales' query in the workbook." type="100" refreshedVersion="8" minRefreshableVersion="5">
    <extLst>
      <ext xmlns:x15="http://schemas.microsoft.com/office/spreadsheetml/2010/11/main" uri="{DE250136-89BD-433C-8126-D09CA5730AF9}">
        <x15:connection id="b5a00112-1d5f-41d5-ab6c-06741f2fb4a5"/>
      </ext>
    </extLst>
  </connection>
  <connection id="4" xr16:uid="{C8051056-2ED2-4E3F-813D-0859BAADCA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<sst xmlns="http://schemas.openxmlformats.org/spreadsheetml/2006/main" count="108" uniqueCount="90">
  <si>
    <t>$1,800.00</t>
  </si>
  <si>
    <t>ONLINE</t>
  </si>
  <si>
    <t>RETAIL</t>
  </si>
  <si>
    <t>Total_Revenue</t>
  </si>
  <si>
    <t>Total_Profit</t>
  </si>
  <si>
    <t>Gross_Margin_Pct</t>
  </si>
  <si>
    <t>Average_Order_Value (AOV)</t>
  </si>
  <si>
    <t>Row Labels</t>
  </si>
  <si>
    <t>Central</t>
  </si>
  <si>
    <t>East</t>
  </si>
  <si>
    <t>North</t>
  </si>
  <si>
    <t>South</t>
  </si>
  <si>
    <t>West</t>
  </si>
  <si>
    <t>Grand Total</t>
  </si>
  <si>
    <t>Services</t>
  </si>
  <si>
    <t>Software</t>
  </si>
  <si>
    <t>Total_Revenue Status</t>
  </si>
  <si>
    <t>Column Labels</t>
  </si>
  <si>
    <t>2025</t>
  </si>
  <si>
    <t>2026</t>
  </si>
  <si>
    <t>Total_Cost</t>
  </si>
  <si>
    <t>Total_Revenue Goal</t>
  </si>
  <si>
    <t>ENTERPRISE RETAIL PERFORMANCE &amp; MARGIN AUDIT</t>
  </si>
  <si>
    <t>TOTAL REVENUE</t>
  </si>
  <si>
    <t>Total_Units</t>
  </si>
  <si>
    <t>GROSS PROFIT</t>
  </si>
  <si>
    <t>GROSS MARGIN%</t>
  </si>
  <si>
    <t>AVERAGE ORDER VALUE</t>
  </si>
  <si>
    <t>Central Express</t>
  </si>
  <si>
    <t>East Hub</t>
  </si>
  <si>
    <t>North Flagship</t>
  </si>
  <si>
    <t>South Outlet</t>
  </si>
  <si>
    <t>West Flagship</t>
  </si>
  <si>
    <t>📊 Executive Summary: Retail Performance &amp; Revenue Audit</t>
  </si>
  <si>
    <r>
      <t>Reporting Period:</t>
    </r>
    <r>
      <rPr>
        <sz val="11"/>
        <color theme="1"/>
        <rFont val="Arial"/>
        <family val="2"/>
      </rPr>
      <t xml:space="preserve"> Q3 2025 vs. Q3 2026 | </t>
    </r>
    <r>
      <rPr>
        <b/>
        <sz val="11"/>
        <color theme="1"/>
        <rFont val="Arial"/>
        <family val="2"/>
      </rPr>
      <t>Scope:</t>
    </r>
    <r>
      <rPr>
        <sz val="11"/>
        <color theme="1"/>
        <rFont val="Arial"/>
        <family val="2"/>
      </rPr>
      <t xml:space="preserve"> 5 Regional Hubs across 3 Sales Channels</t>
    </r>
  </si>
  <si>
    <r>
      <t>Prepared by:</t>
    </r>
    <r>
      <rPr>
        <sz val="11"/>
        <color theme="1"/>
        <rFont val="Arial"/>
        <family val="2"/>
      </rPr>
      <t xml:space="preserve"> Lead Business Intelligence Analyst | </t>
    </r>
    <r>
      <rPr>
        <b/>
        <sz val="11"/>
        <color theme="1"/>
        <rFont val="Arial"/>
        <family val="2"/>
      </rPr>
      <t>Date:</t>
    </r>
    <r>
      <rPr>
        <sz val="11"/>
        <color theme="1"/>
        <rFont val="Arial"/>
        <family val="2"/>
      </rPr>
      <t xml:space="preserve"> October 2026</t>
    </r>
  </si>
  <si>
    <t>1. Executive Briefing &amp; Core Financial Metrics</t>
  </si>
  <si>
    <r>
      <t xml:space="preserve">An operational audit was conducted across </t>
    </r>
    <r>
      <rPr>
        <b/>
        <sz val="11"/>
        <color theme="1"/>
        <rFont val="Arial"/>
        <family val="2"/>
      </rPr>
      <t>$32,600</t>
    </r>
    <r>
      <rPr>
        <sz val="11"/>
        <color theme="1"/>
        <rFont val="Arial"/>
        <family val="2"/>
      </rPr>
      <t xml:space="preserve"> in total gross sales spanning 16 enterprise orders. Revenue grew </t>
    </r>
    <r>
      <rPr>
        <b/>
        <sz val="11"/>
        <color theme="1"/>
        <rFont val="Arial"/>
        <family val="2"/>
      </rPr>
      <t>+36.2% YoY</t>
    </r>
    <r>
      <rPr>
        <sz val="11"/>
        <color theme="1"/>
        <rFont val="Arial"/>
        <family val="2"/>
      </rPr>
      <t xml:space="preserve"> ($13,800 in Q3 2025 to $18,800 in Q3 2026). The overall portfolio maintained strong margin health at </t>
    </r>
    <r>
      <rPr>
        <b/>
        <sz val="11"/>
        <color theme="1"/>
        <rFont val="Arial"/>
        <family val="2"/>
      </rPr>
      <t>65.95% Gross Profit Margin</t>
    </r>
    <r>
      <rPr>
        <sz val="11"/>
        <color theme="1"/>
        <rFont val="Arial"/>
        <family val="2"/>
      </rPr>
      <t xml:space="preserve">, yielding </t>
    </r>
    <r>
      <rPr>
        <b/>
        <sz val="11"/>
        <color theme="1"/>
        <rFont val="Arial"/>
        <family val="2"/>
      </rPr>
      <t>$21,500 in Net Gross Profit</t>
    </r>
    <r>
      <rPr>
        <sz val="11"/>
        <color theme="1"/>
        <rFont val="Arial"/>
        <family val="2"/>
      </rPr>
      <t>.</t>
    </r>
  </si>
  <si>
    <t>Financial Metric</t>
  </si>
  <si>
    <t>Q3 2025 Baseline</t>
  </si>
  <si>
    <t>Q3 2026 Actual</t>
  </si>
  <si>
    <t>YoY Variance</t>
  </si>
  <si>
    <t>Target Benchmark</t>
  </si>
  <si>
    <t>Performance Status</t>
  </si>
  <si>
    <t>Gross Revenue</t>
  </si>
  <si>
    <t>$13,800.00</t>
  </si>
  <si>
    <t>$18,800.00</t>
  </si>
  <si>
    <t>+$5,000.00 (+36.2%)</t>
  </si>
  <si>
    <t>$15,000.00</t>
  </si>
  <si>
    <t>🟢 Exceeded Target</t>
  </si>
  <si>
    <t>Net Gross Profit</t>
  </si>
  <si>
    <t>$9,100.00</t>
  </si>
  <si>
    <t>$12,400.00</t>
  </si>
  <si>
    <t>+$3,300.00 (+36.3%)</t>
  </si>
  <si>
    <t>$10,000.00</t>
  </si>
  <si>
    <t>Gross Margin %</t>
  </si>
  <si>
    <t>🟢 Healthy</t>
  </si>
  <si>
    <t>Average Order Value (AOV)</t>
  </si>
  <si>
    <t>$1,725.00</t>
  </si>
  <si>
    <t>$2,350.00</t>
  </si>
  <si>
    <t>+$625.00 (+36.2%)</t>
  </si>
  <si>
    <t>🟢 Strong Expansion</t>
  </si>
  <si>
    <t>2. Deep-Dive Analytical Findings</t>
  </si>
  <si>
    <t>💸 A. Revenue Leakage &amp; Promotional Overuse</t>
  </si>
  <si>
    <r>
      <t>Promotional Discount Leakage:</t>
    </r>
    <r>
      <rPr>
        <sz val="11"/>
        <color theme="1"/>
        <rFont val="Arial"/>
        <family val="2"/>
      </rPr>
      <t xml:space="preserve"> </t>
    </r>
    <r>
      <rPr>
        <b/>
        <sz val="11"/>
        <color theme="1"/>
        <rFont val="Arial"/>
        <family val="2"/>
      </rPr>
      <t>68.8% of all orders</t>
    </r>
    <r>
      <rPr>
        <sz val="11"/>
        <color theme="1"/>
        <rFont val="Arial"/>
        <family val="2"/>
      </rPr>
      <t xml:space="preserve"> relied on promotional codes (</t>
    </r>
    <r>
      <rPr>
        <sz val="10"/>
        <color theme="1"/>
        <rFont val="Google Sans Text"/>
        <family val="2"/>
      </rPr>
      <t>VIP20</t>
    </r>
    <r>
      <rPr>
        <sz val="11"/>
        <color theme="1"/>
        <rFont val="Arial"/>
        <family val="2"/>
      </rPr>
      <t xml:space="preserve">, </t>
    </r>
    <r>
      <rPr>
        <sz val="10"/>
        <color theme="1"/>
        <rFont val="Google Sans Text"/>
        <family val="2"/>
      </rPr>
      <t>SAVE15</t>
    </r>
    <r>
      <rPr>
        <sz val="11"/>
        <color theme="1"/>
        <rFont val="Arial"/>
        <family val="2"/>
      </rPr>
      <t xml:space="preserve">, </t>
    </r>
    <r>
      <rPr>
        <sz val="10"/>
        <color theme="1"/>
        <rFont val="Google Sans Text"/>
        <family val="2"/>
      </rPr>
      <t>SAVE10</t>
    </r>
    <r>
      <rPr>
        <sz val="11"/>
        <color theme="1"/>
        <rFont val="Arial"/>
        <family val="2"/>
      </rPr>
      <t xml:space="preserve">). </t>
    </r>
    <r>
      <rPr>
        <sz val="10"/>
        <color theme="1"/>
        <rFont val="Google Sans Text"/>
        <family val="2"/>
      </rPr>
      <t>VIP20</t>
    </r>
    <r>
      <rPr>
        <sz val="11"/>
        <color theme="1"/>
        <rFont val="Arial"/>
        <family val="2"/>
      </rPr>
      <t xml:space="preserve"> usage alone was tied to $13,200 in gross revenue across 5 large orders. Uncapped 20% discounts on high-ticket enterprise orders resulted in </t>
    </r>
    <r>
      <rPr>
        <b/>
        <sz val="11"/>
        <color theme="1"/>
        <rFont val="Arial"/>
        <family val="2"/>
      </rPr>
      <t>~$3,300 in foregone topline revenue</t>
    </r>
    <r>
      <rPr>
        <sz val="11"/>
        <color theme="1"/>
        <rFont val="Arial"/>
        <family val="2"/>
      </rPr>
      <t>.</t>
    </r>
  </si>
  <si>
    <r>
      <t>Channel Discount Exposure:</t>
    </r>
    <r>
      <rPr>
        <sz val="11"/>
        <color theme="1"/>
        <rFont val="Arial"/>
        <family val="2"/>
      </rPr>
      <t xml:space="preserve"> Digital channels (</t>
    </r>
    <r>
      <rPr>
        <sz val="10"/>
        <color theme="1"/>
        <rFont val="Google Sans Text"/>
        <family val="2"/>
      </rPr>
      <t>ONLINE_WEB</t>
    </r>
    <r>
      <rPr>
        <sz val="11"/>
        <color theme="1"/>
        <rFont val="Arial"/>
        <family val="2"/>
      </rPr>
      <t xml:space="preserve"> and </t>
    </r>
    <r>
      <rPr>
        <sz val="10"/>
        <color theme="1"/>
        <rFont val="Google Sans Text"/>
        <family val="2"/>
      </rPr>
      <t>ONLINE_APP</t>
    </r>
    <r>
      <rPr>
        <sz val="11"/>
        <color theme="1"/>
        <rFont val="Arial"/>
        <family val="2"/>
      </rPr>
      <t xml:space="preserve">) accounted for 100% of the </t>
    </r>
    <r>
      <rPr>
        <sz val="10"/>
        <color theme="1"/>
        <rFont val="Google Sans Text"/>
        <family val="2"/>
      </rPr>
      <t>VIP20</t>
    </r>
    <r>
      <rPr>
        <sz val="11"/>
        <color theme="1"/>
        <rFont val="Arial"/>
        <family val="2"/>
      </rPr>
      <t xml:space="preserve"> usage. Unmanaged self-service promotional application at online checkout is eroding baseline software pricing power.</t>
    </r>
  </si>
  <si>
    <t>🏆 B. Top-Performing Product Categories</t>
  </si>
  <si>
    <r>
      <t>Software Subscriptions Drive Profitability:</t>
    </r>
    <r>
      <rPr>
        <sz val="11"/>
        <color theme="1"/>
        <rFont val="Arial"/>
        <family val="2"/>
      </rPr>
      <t xml:space="preserve"> Software offerings (</t>
    </r>
    <r>
      <rPr>
        <sz val="10"/>
        <color theme="1"/>
        <rFont val="Google Sans Text"/>
        <family val="2"/>
      </rPr>
      <t>PROD-101 Enterprise Analytics Suite</t>
    </r>
    <r>
      <rPr>
        <sz val="11"/>
        <color theme="1"/>
        <rFont val="Arial"/>
        <family val="2"/>
      </rPr>
      <t xml:space="preserve"> and </t>
    </r>
    <r>
      <rPr>
        <sz val="10"/>
        <color theme="1"/>
        <rFont val="Google Sans Text"/>
        <family val="2"/>
      </rPr>
      <t>PROD-102 Cloud BI Connector</t>
    </r>
    <r>
      <rPr>
        <sz val="11"/>
        <color theme="1"/>
        <rFont val="Arial"/>
        <family val="2"/>
      </rPr>
      <t xml:space="preserve">) generated </t>
    </r>
    <r>
      <rPr>
        <b/>
        <sz val="11"/>
        <color theme="1"/>
        <rFont val="Arial"/>
        <family val="2"/>
      </rPr>
      <t>$26,350 (80.8%) of total revenue</t>
    </r>
    <r>
      <rPr>
        <sz val="11"/>
        <color theme="1"/>
        <rFont val="Arial"/>
        <family val="2"/>
      </rPr>
      <t xml:space="preserve"> and </t>
    </r>
    <r>
      <rPr>
        <b/>
        <sz val="11"/>
        <color theme="1"/>
        <rFont val="Arial"/>
        <family val="2"/>
      </rPr>
      <t>$17,400 of gross profit</t>
    </r>
    <r>
      <rPr>
        <sz val="11"/>
        <color theme="1"/>
        <rFont val="Arial"/>
        <family val="2"/>
      </rPr>
      <t>.</t>
    </r>
  </si>
  <si>
    <r>
      <t>High-Margin Connector Growth:</t>
    </r>
    <r>
      <rPr>
        <sz val="11"/>
        <color theme="1"/>
        <rFont val="Arial"/>
        <family val="2"/>
      </rPr>
      <t xml:space="preserve"> </t>
    </r>
    <r>
      <rPr>
        <sz val="10"/>
        <color theme="1"/>
        <rFont val="Google Sans Text"/>
        <family val="2"/>
      </rPr>
      <t>Cloud BI Connector</t>
    </r>
    <r>
      <rPr>
        <sz val="11"/>
        <color theme="1"/>
        <rFont val="Arial"/>
        <family val="2"/>
      </rPr>
      <t xml:space="preserve"> (</t>
    </r>
    <r>
      <rPr>
        <sz val="10"/>
        <color theme="1"/>
        <rFont val="Google Sans Text"/>
        <family val="2"/>
      </rPr>
      <t>PROD-102</t>
    </r>
    <r>
      <rPr>
        <sz val="11"/>
        <color theme="1"/>
        <rFont val="Arial"/>
        <family val="2"/>
      </rPr>
      <t>) delivered the strongest individual margin profile (</t>
    </r>
    <r>
      <rPr>
        <b/>
        <sz val="11"/>
        <color theme="1"/>
        <rFont val="Arial"/>
        <family val="2"/>
      </rPr>
      <t>73.5% Gross Margin</t>
    </r>
    <r>
      <rPr>
        <sz val="11"/>
        <color theme="1"/>
        <rFont val="Arial"/>
        <family val="2"/>
      </rPr>
      <t>, $150 unit cost vs. $550 average selling price), benefiting from low cost-of-goods-sold (COGS).</t>
    </r>
  </si>
  <si>
    <r>
      <t>Service Margin Drag:</t>
    </r>
    <r>
      <rPr>
        <sz val="11"/>
        <color theme="1"/>
        <rFont val="Arial"/>
        <family val="2"/>
      </rPr>
      <t xml:space="preserve"> </t>
    </r>
    <r>
      <rPr>
        <sz val="10"/>
        <color theme="1"/>
        <rFont val="Google Sans Text"/>
        <family val="2"/>
      </rPr>
      <t>Data Engineering Services</t>
    </r>
    <r>
      <rPr>
        <sz val="11"/>
        <color theme="1"/>
        <rFont val="Arial"/>
        <family val="2"/>
      </rPr>
      <t xml:space="preserve"> (</t>
    </r>
    <r>
      <rPr>
        <sz val="10"/>
        <color theme="1"/>
        <rFont val="Google Sans Text"/>
        <family val="2"/>
      </rPr>
      <t>PROD-103</t>
    </r>
    <r>
      <rPr>
        <sz val="11"/>
        <color theme="1"/>
        <rFont val="Arial"/>
        <family val="2"/>
      </rPr>
      <t>) generated lower gross margins (</t>
    </r>
    <r>
      <rPr>
        <b/>
        <sz val="11"/>
        <color theme="1"/>
        <rFont val="Arial"/>
        <family val="2"/>
      </rPr>
      <t>58.3%</t>
    </r>
    <r>
      <rPr>
        <sz val="11"/>
        <color theme="1"/>
        <rFont val="Arial"/>
        <family val="2"/>
      </rPr>
      <t>) due to higher unit deliverable costs ($200 cost per unit on $480–$700 sales price).</t>
    </r>
  </si>
  <si>
    <t>🚧 C. Regional Growth Bottlenecks &amp; Channel Performance</t>
  </si>
  <si>
    <r>
      <t>Flagship Hub Success:</t>
    </r>
    <r>
      <rPr>
        <sz val="11"/>
        <color theme="1"/>
        <rFont val="Arial"/>
        <family val="2"/>
      </rPr>
      <t xml:space="preserve"> </t>
    </r>
    <r>
      <rPr>
        <b/>
        <sz val="11"/>
        <color theme="1"/>
        <rFont val="Arial"/>
        <family val="2"/>
      </rPr>
      <t>North Flagship (</t>
    </r>
    <r>
      <rPr>
        <b/>
        <sz val="10"/>
        <color theme="1"/>
        <rFont val="Google Sans Text"/>
        <family val="2"/>
      </rPr>
      <t>STR-101</t>
    </r>
    <r>
      <rPr>
        <b/>
        <sz val="11"/>
        <color theme="1"/>
        <rFont val="Arial"/>
        <family val="2"/>
      </rPr>
      <t>)</t>
    </r>
    <r>
      <rPr>
        <sz val="11"/>
        <color theme="1"/>
        <rFont val="Arial"/>
        <family val="2"/>
      </rPr>
      <t xml:space="preserve"> and </t>
    </r>
    <r>
      <rPr>
        <b/>
        <sz val="11"/>
        <color theme="1"/>
        <rFont val="Arial"/>
        <family val="2"/>
      </rPr>
      <t>West Flagship (</t>
    </r>
    <r>
      <rPr>
        <b/>
        <sz val="10"/>
        <color theme="1"/>
        <rFont val="Google Sans Text"/>
        <family val="2"/>
      </rPr>
      <t>STR-104</t>
    </r>
    <r>
      <rPr>
        <b/>
        <sz val="11"/>
        <color theme="1"/>
        <rFont val="Arial"/>
        <family val="2"/>
      </rPr>
      <t>)</t>
    </r>
    <r>
      <rPr>
        <sz val="11"/>
        <color theme="1"/>
        <rFont val="Arial"/>
        <family val="2"/>
      </rPr>
      <t xml:space="preserve"> generated </t>
    </r>
    <r>
      <rPr>
        <b/>
        <sz val="11"/>
        <color theme="1"/>
        <rFont val="Arial"/>
        <family val="2"/>
      </rPr>
      <t>$16,800 (51.5%)</t>
    </r>
    <r>
      <rPr>
        <sz val="11"/>
        <color theme="1"/>
        <rFont val="Arial"/>
        <family val="2"/>
      </rPr>
      <t xml:space="preserve"> of total enterprise revenue, capitalizing on higher online web fulfillment volumes.</t>
    </r>
  </si>
  <si>
    <r>
      <t>Central Express Bottleneck:</t>
    </r>
    <r>
      <rPr>
        <sz val="11"/>
        <color theme="1"/>
        <rFont val="Arial"/>
        <family val="2"/>
      </rPr>
      <t xml:space="preserve"> </t>
    </r>
    <r>
      <rPr>
        <b/>
        <sz val="11"/>
        <color theme="1"/>
        <rFont val="Arial"/>
        <family val="2"/>
      </rPr>
      <t>Central Express (</t>
    </r>
    <r>
      <rPr>
        <b/>
        <sz val="10"/>
        <color theme="1"/>
        <rFont val="Google Sans Text"/>
        <family val="2"/>
      </rPr>
      <t>STR-105</t>
    </r>
    <r>
      <rPr>
        <b/>
        <sz val="11"/>
        <color theme="1"/>
        <rFont val="Arial"/>
        <family val="2"/>
      </rPr>
      <t>)</t>
    </r>
    <r>
      <rPr>
        <sz val="11"/>
        <color theme="1"/>
        <rFont val="Arial"/>
        <family val="2"/>
      </rPr>
      <t xml:space="preserve"> severely underperformed, generating only </t>
    </r>
    <r>
      <rPr>
        <b/>
        <sz val="11"/>
        <color theme="1"/>
        <rFont val="Arial"/>
        <family val="2"/>
      </rPr>
      <t>$1,700 total revenue (5.2% of total volume)</t>
    </r>
    <r>
      <rPr>
        <sz val="11"/>
        <color theme="1"/>
        <rFont val="Arial"/>
        <family val="2"/>
      </rPr>
      <t xml:space="preserve"> across the entire audit period, failing to hit its annual operational target run-rate ($25,000).</t>
    </r>
  </si>
  <si>
    <r>
      <t>Retail Store Stagnation:</t>
    </r>
    <r>
      <rPr>
        <sz val="11"/>
        <color theme="1"/>
        <rFont val="Arial"/>
        <family val="2"/>
      </rPr>
      <t xml:space="preserve"> Physical retail stores (</t>
    </r>
    <r>
      <rPr>
        <sz val="10"/>
        <color theme="1"/>
        <rFont val="Google Sans Text"/>
        <family val="2"/>
      </rPr>
      <t>RETAIL_STORE</t>
    </r>
    <r>
      <rPr>
        <sz val="11"/>
        <color theme="1"/>
        <rFont val="Arial"/>
        <family val="2"/>
      </rPr>
      <t xml:space="preserve">) generated lower volume per transaction (average </t>
    </r>
    <r>
      <rPr>
        <b/>
        <sz val="11"/>
        <color theme="1"/>
        <rFont val="Arial"/>
        <family val="2"/>
      </rPr>
      <t>1.5 units/order</t>
    </r>
    <r>
      <rPr>
        <sz val="11"/>
        <color theme="1"/>
        <rFont val="Arial"/>
        <family val="2"/>
      </rPr>
      <t>) compared to online app users (</t>
    </r>
    <r>
      <rPr>
        <b/>
        <sz val="11"/>
        <color theme="1"/>
        <rFont val="Arial"/>
        <family val="2"/>
      </rPr>
      <t>2.8 units/order</t>
    </r>
    <r>
      <rPr>
        <sz val="11"/>
        <color theme="1"/>
        <rFont val="Arial"/>
        <family val="2"/>
      </rPr>
      <t>).</t>
    </r>
  </si>
  <si>
    <t>3. Strategic Recommendations &amp; Action Plan</t>
  </si>
  <si>
    <t xml:space="preserve">       ┌───────────────────────────────────────────────────────────────┐</t>
  </si>
  <si>
    <t xml:space="preserve">       └───────────────────────────────┬───────────────────────────────┘</t>
  </si>
  <si>
    <t xml:space="preserve">        ▼                              ▼                              ▼</t>
  </si>
  <si>
    <t xml:space="preserve">  1. FIX LEAKAGE                2. PACKAGING                 3. HUB REALIGNMENT</t>
  </si>
  <si>
    <t xml:space="preserve"> ┌──────────────────────┐      ┌──────────────────────┐     ┌──────────────────────┐</t>
  </si>
  <si>
    <t xml:space="preserve"> └──────────────────────┘      └──────────────────────┘     └──────────────────────┘</t>
  </si>
  <si>
    <r>
      <t>1. Implement Minimum Order Quantities (MOQ) for VIP Discounts:</t>
    </r>
    <r>
      <rPr>
        <sz val="11"/>
        <color theme="1"/>
        <rFont val="Arial"/>
        <family val="2"/>
      </rPr>
      <t xml:space="preserve"> Restrict </t>
    </r>
    <r>
      <rPr>
        <sz val="10"/>
        <color theme="1"/>
        <rFont val="Google Sans Text"/>
        <family val="2"/>
      </rPr>
      <t>VIP20</t>
    </r>
    <r>
      <rPr>
        <sz val="11"/>
        <color theme="1"/>
        <rFont val="Arial"/>
        <family val="2"/>
      </rPr>
      <t xml:space="preserve"> promo usage to orders exceeding $3,000 to prevent revenue erosion on mid-tier software tiers.</t>
    </r>
  </si>
  <si>
    <r>
      <t>2. Bundle Services with High-Margin Software:</t>
    </r>
    <r>
      <rPr>
        <sz val="11"/>
        <color theme="1"/>
        <rFont val="Arial"/>
        <family val="2"/>
      </rPr>
      <t xml:space="preserve"> Package </t>
    </r>
    <r>
      <rPr>
        <sz val="10"/>
        <color theme="1"/>
        <rFont val="Google Sans Text"/>
        <family val="2"/>
      </rPr>
      <t>Data Engineering Services</t>
    </r>
    <r>
      <rPr>
        <sz val="11"/>
        <color theme="1"/>
        <rFont val="Arial"/>
        <family val="2"/>
      </rPr>
      <t xml:space="preserve"> (</t>
    </r>
    <r>
      <rPr>
        <sz val="10"/>
        <color theme="1"/>
        <rFont val="Google Sans Text"/>
        <family val="2"/>
      </rPr>
      <t>PROD-103</t>
    </r>
    <r>
      <rPr>
        <sz val="11"/>
        <color theme="1"/>
        <rFont val="Arial"/>
        <family val="2"/>
      </rPr>
      <t xml:space="preserve">) directly with </t>
    </r>
    <r>
      <rPr>
        <sz val="10"/>
        <color theme="1"/>
        <rFont val="Google Sans Text"/>
        <family val="2"/>
      </rPr>
      <t>Cloud BI Connectors</t>
    </r>
    <r>
      <rPr>
        <sz val="11"/>
        <color theme="1"/>
        <rFont val="Arial"/>
        <family val="2"/>
      </rPr>
      <t xml:space="preserve"> (</t>
    </r>
    <r>
      <rPr>
        <sz val="10"/>
        <color theme="1"/>
        <rFont val="Google Sans Text"/>
        <family val="2"/>
      </rPr>
      <t>PROD-102</t>
    </r>
    <r>
      <rPr>
        <sz val="11"/>
        <color theme="1"/>
        <rFont val="Arial"/>
        <family val="2"/>
      </rPr>
      <t>) to raise overall service margin contribution.</t>
    </r>
  </si>
  <si>
    <r>
      <t>3. Restructure Underperforming Regional Hubs:</t>
    </r>
    <r>
      <rPr>
        <sz val="11"/>
        <color theme="1"/>
        <rFont val="Arial"/>
        <family val="2"/>
      </rPr>
      <t xml:space="preserve"> Evaluate foot traffic and overhead at Central Express (</t>
    </r>
    <r>
      <rPr>
        <sz val="10"/>
        <color theme="1"/>
        <rFont val="Google Sans Text"/>
        <family val="2"/>
      </rPr>
      <t>STR-105</t>
    </r>
    <r>
      <rPr>
        <sz val="11"/>
        <color theme="1"/>
        <rFont val="Arial"/>
        <family val="2"/>
      </rPr>
      <t>). Reallocate local inventory to support online order fulfillment for the North/Central corridor.</t>
    </r>
  </si>
  <si>
    <t xml:space="preserve"> │ Set $3,000 minimum                       │      │ Bundle high-margin                       │     │ Convert Central                             │</t>
  </si>
  <si>
    <t xml:space="preserve"> │ spend threshold on                         │      │ BI Connectors with                        │     │ Express into a                               │</t>
  </si>
  <si>
    <t xml:space="preserve"> │ VIP20 discounts.                            │      │ low-margin Services.                     │     │ Digital Pickup Hub.                        │</t>
  </si>
  <si>
    <t xml:space="preserve">                                                                                    │</t>
  </si>
  <si>
    <t xml:space="preserve">        ┌────────────────────────────── ┼──────────────────────────────┐</t>
  </si>
  <si>
    <t xml:space="preserve">                       STRATEGIC PRIORITY ROADMAP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</si>
</sst>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_-[$$-409]* #,##0.00_ ;_-[$$-409]* \-#,##0.00\ ;_-[$$-409]* &quot;-&quot;??_ ;_-@_ "/>
  </numFmts>
  <fonts count="14">
    <font>
      <sz val="11"/>
      <color theme="1"/>
      <name val="Calibri"/>
      <family val="2"/>
      <scheme val="minor"/>
    </font>
    <font>
      <sz val="11"/>
      <color theme="1"/>
      <name val="Calibri"/>
      <family val="2"/>
      <scheme val="minor"/>
    </font>
    <font>
      <sz val="8"/>
      <name val="Calibri"/>
      <family val="2"/>
      <scheme val="minor"/>
    </font>
    <font>
      <b/>
      <sz val="18"/>
      <color theme="0"/>
      <name val="Calibri"/>
      <family val="2"/>
      <scheme val="minor"/>
    </font>
    <font>
      <sz val="18"/>
      <color theme="1"/>
      <name val="Calibri"/>
      <family val="2"/>
      <scheme val="minor"/>
    </font>
    <font>
      <b/>
      <sz val="11"/>
      <color theme="9"/>
      <name val="Calibri"/>
      <family val="2"/>
      <scheme val="minor"/>
    </font>
    <font>
      <b/>
      <sz val="22"/>
      <color theme="1"/>
      <name val="Slate"/>
    </font>
    <font>
      <b/>
      <sz val="24"/>
      <color theme="1"/>
      <name val="Arial"/>
      <family val="2"/>
    </font>
    <font>
      <sz val="11"/>
      <color theme="1"/>
      <name val="Arial"/>
      <family val="2"/>
    </font>
    <font>
      <b/>
      <sz val="11"/>
      <color theme="1"/>
      <name val="Arial"/>
      <family val="2"/>
    </font>
    <font>
      <b/>
      <sz val="18"/>
      <color theme="1"/>
      <name val="Arial"/>
      <family val="2"/>
    </font>
    <font>
      <b/>
      <sz val="13.5"/>
      <color theme="1"/>
      <name val="Arial"/>
      <family val="2"/>
    </font>
    <font>
      <sz val="10"/>
      <color theme="1"/>
      <name val="Google Sans Text"/>
      <family val="2"/>
    </font>
    <font>
      <b/>
      <sz val="10"/>
      <color theme="1"/>
      <name val="Google Sans Text"/>
      <family val="2"/>
    </font>
  </fonts>
  <fills count="5">
    <fill>
      <patternFill patternType="none"/>
    </fill>
    <fill>
      <patternFill patternType="gray125"/>
    </fill>
    <fill>
      <patternFill patternType="solid">
        <fgColor theme="4"/>
        <bgColor indexed="64"/>
      </patternFill>
    </fill>
    <fill>
      <patternFill patternType="solid">
        <fgColor rgb="FF0070C0"/>
        <bgColor indexed="64"/>
      </patternFill>
    </fill>
    <fill>
      <patternFill patternType="solid">
        <fgColor theme="0"/>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9"/>
      </right>
      <top/>
      <bottom/>
      <diagonal/>
    </border>
    <border>
      <left style="thin">
        <color theme="9"/>
      </left>
      <right style="thin">
        <color theme="9"/>
      </right>
      <top style="thin">
        <color theme="9"/>
      </top>
      <bottom style="thin">
        <color theme="9"/>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style="medium">
        <color rgb="FFC4C7C5"/>
      </right>
      <top style="medium">
        <color rgb="FFC4C7C5"/>
      </top>
      <bottom/>
      <diagonal/>
    </border>
    <border>
      <left style="medium">
        <color rgb="FFC4C7C5"/>
      </left>
      <right/>
      <top style="medium">
        <color rgb="FFC4C7C5"/>
      </top>
      <bottom/>
      <diagonal/>
    </border>
  </borders>
  <cellStyleXfs count="2">
    <xf numFmtId="0" fontId="0" fillId="0" borderId="0"/>
    <xf numFmtId="9" fontId="1" fillId="0" borderId="0" applyFont="0" applyFill="0" applyBorder="0" applyAlignment="0" applyProtection="0"/>
  </cellStyleXfs>
  <cellXfs count="66">
    <xf numFmtId="0" fontId="0" fillId="0" borderId="0" xfId="0"/>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3" fillId="3" borderId="0" xfId="0" applyFont="1" applyFill="1" applyAlignment="1">
      <alignment horizontal="left"/>
    </xf>
    <xf numFmtId="0" fontId="4" fillId="3" borderId="0" xfId="0" applyFont="1" applyFill="1" applyAlignment="1">
      <alignment horizontal="left"/>
    </xf>
    <xf numFmtId="0" fontId="0" fillId="4" borderId="0" xfId="0" applyFill="1" applyBorder="1"/>
    <xf numFmtId="0" fontId="0" fillId="4" borderId="0" xfId="0" applyFill="1" applyBorder="1" applyAlignment="1">
      <alignment horizontal="center"/>
    </xf>
    <xf numFmtId="166" fontId="6" fillId="4" borderId="1" xfId="0" applyNumberFormat="1" applyFont="1" applyFill="1" applyBorder="1" applyAlignment="1">
      <alignment horizontal="center" vertical="center"/>
    </xf>
    <xf numFmtId="166" fontId="6" fillId="4" borderId="2" xfId="0" applyNumberFormat="1" applyFont="1" applyFill="1" applyBorder="1" applyAlignment="1">
      <alignment horizontal="center" vertical="center"/>
    </xf>
    <xf numFmtId="166" fontId="6" fillId="4" borderId="3" xfId="0" applyNumberFormat="1" applyFont="1" applyFill="1" applyBorder="1" applyAlignment="1">
      <alignment horizontal="center" vertical="center"/>
    </xf>
    <xf numFmtId="166" fontId="6" fillId="4" borderId="4" xfId="0" applyNumberFormat="1" applyFont="1" applyFill="1" applyBorder="1" applyAlignment="1">
      <alignment horizontal="center" vertical="center"/>
    </xf>
    <xf numFmtId="166" fontId="6" fillId="4" borderId="0" xfId="0" applyNumberFormat="1" applyFont="1" applyFill="1" applyBorder="1" applyAlignment="1">
      <alignment horizontal="center" vertical="center"/>
    </xf>
    <xf numFmtId="166" fontId="6" fillId="4" borderId="5" xfId="0" applyNumberFormat="1" applyFont="1" applyFill="1" applyBorder="1" applyAlignment="1">
      <alignment horizontal="center" vertical="center"/>
    </xf>
    <xf numFmtId="166" fontId="6" fillId="4" borderId="6" xfId="0" applyNumberFormat="1" applyFont="1" applyFill="1" applyBorder="1" applyAlignment="1">
      <alignment horizontal="center" vertical="center"/>
    </xf>
    <xf numFmtId="166" fontId="6" fillId="4" borderId="7" xfId="0" applyNumberFormat="1" applyFont="1" applyFill="1" applyBorder="1" applyAlignment="1">
      <alignment horizontal="center" vertical="center"/>
    </xf>
    <xf numFmtId="166" fontId="6" fillId="4" borderId="8" xfId="0" applyNumberFormat="1" applyFont="1" applyFill="1" applyBorder="1" applyAlignment="1">
      <alignment horizontal="center" vertical="center"/>
    </xf>
    <xf numFmtId="0" fontId="5" fillId="2" borderId="7" xfId="0" applyFont="1" applyFill="1" applyBorder="1"/>
    <xf numFmtId="9" fontId="6" fillId="4" borderId="1" xfId="1" applyFont="1" applyFill="1" applyBorder="1" applyAlignment="1">
      <alignment horizontal="center" vertical="center"/>
    </xf>
    <xf numFmtId="9" fontId="6" fillId="4" borderId="2" xfId="1" applyFont="1" applyFill="1" applyBorder="1" applyAlignment="1">
      <alignment horizontal="center" vertical="center"/>
    </xf>
    <xf numFmtId="9" fontId="6" fillId="4" borderId="3" xfId="1" applyFont="1" applyFill="1" applyBorder="1" applyAlignment="1">
      <alignment horizontal="center" vertical="center"/>
    </xf>
    <xf numFmtId="9" fontId="6" fillId="4" borderId="4" xfId="1" applyFont="1" applyFill="1" applyBorder="1" applyAlignment="1">
      <alignment horizontal="center" vertical="center"/>
    </xf>
    <xf numFmtId="9" fontId="6" fillId="4" borderId="0" xfId="1" applyFont="1" applyFill="1" applyBorder="1" applyAlignment="1">
      <alignment horizontal="center" vertical="center"/>
    </xf>
    <xf numFmtId="9" fontId="6" fillId="4" borderId="5" xfId="1" applyFont="1" applyFill="1" applyBorder="1" applyAlignment="1">
      <alignment horizontal="center" vertical="center"/>
    </xf>
    <xf numFmtId="9" fontId="6" fillId="4" borderId="6" xfId="1" applyFont="1" applyFill="1" applyBorder="1" applyAlignment="1">
      <alignment horizontal="center" vertical="center"/>
    </xf>
    <xf numFmtId="9" fontId="6" fillId="4" borderId="7" xfId="1" applyFont="1" applyFill="1" applyBorder="1" applyAlignment="1">
      <alignment horizontal="center" vertical="center"/>
    </xf>
    <xf numFmtId="9" fontId="6" fillId="4" borderId="8" xfId="1" applyFont="1" applyFill="1" applyBorder="1" applyAlignment="1">
      <alignment horizontal="center" vertical="center"/>
    </xf>
    <xf numFmtId="0" fontId="5" fillId="2" borderId="7" xfId="0" applyFont="1" applyFill="1" applyBorder="1" applyAlignment="1">
      <alignment horizontal="center"/>
    </xf>
    <xf numFmtId="2" fontId="6" fillId="4" borderId="1" xfId="1" applyNumberFormat="1" applyFont="1" applyFill="1" applyBorder="1" applyAlignment="1">
      <alignment horizontal="center" vertical="center"/>
    </xf>
    <xf numFmtId="2" fontId="6" fillId="4" borderId="2" xfId="1" applyNumberFormat="1" applyFont="1" applyFill="1" applyBorder="1" applyAlignment="1">
      <alignment horizontal="center" vertical="center"/>
    </xf>
    <xf numFmtId="2" fontId="6" fillId="4" borderId="3" xfId="1" applyNumberFormat="1" applyFont="1" applyFill="1" applyBorder="1" applyAlignment="1">
      <alignment horizontal="center" vertical="center"/>
    </xf>
    <xf numFmtId="2" fontId="6" fillId="4" borderId="4" xfId="1" applyNumberFormat="1" applyFont="1" applyFill="1" applyBorder="1" applyAlignment="1">
      <alignment horizontal="center" vertical="center"/>
    </xf>
    <xf numFmtId="2" fontId="6" fillId="4" borderId="0" xfId="1" applyNumberFormat="1" applyFont="1" applyFill="1" applyBorder="1" applyAlignment="1">
      <alignment horizontal="center" vertical="center"/>
    </xf>
    <xf numFmtId="2" fontId="6" fillId="4" borderId="5" xfId="1" applyNumberFormat="1" applyFont="1" applyFill="1" applyBorder="1" applyAlignment="1">
      <alignment horizontal="center" vertical="center"/>
    </xf>
    <xf numFmtId="2" fontId="6" fillId="4" borderId="6" xfId="1" applyNumberFormat="1" applyFont="1" applyFill="1" applyBorder="1" applyAlignment="1">
      <alignment horizontal="center" vertical="center"/>
    </xf>
    <xf numFmtId="2" fontId="6" fillId="4" borderId="7" xfId="1" applyNumberFormat="1" applyFont="1" applyFill="1" applyBorder="1" applyAlignment="1">
      <alignment horizontal="center" vertical="center"/>
    </xf>
    <xf numFmtId="2" fontId="6" fillId="4" borderId="8" xfId="1" applyNumberFormat="1" applyFont="1" applyFill="1" applyBorder="1" applyAlignment="1">
      <alignment horizontal="center" vertical="center"/>
    </xf>
    <xf numFmtId="0" fontId="0" fillId="4" borderId="0" xfId="0" applyFill="1"/>
    <xf numFmtId="0" fontId="0" fillId="2" borderId="9" xfId="0" applyFill="1" applyBorder="1"/>
    <xf numFmtId="0" fontId="0" fillId="4" borderId="10" xfId="0" applyFill="1" applyBorder="1"/>
    <xf numFmtId="0" fontId="7" fillId="4" borderId="0" xfId="0" applyFont="1" applyFill="1" applyAlignment="1">
      <alignment vertical="center"/>
    </xf>
    <xf numFmtId="0" fontId="0" fillId="4" borderId="0" xfId="0" applyFill="1"/>
    <xf numFmtId="0" fontId="9" fillId="4" borderId="0" xfId="0" applyFont="1" applyFill="1" applyAlignment="1">
      <alignment vertical="center"/>
    </xf>
    <xf numFmtId="0" fontId="10" fillId="4" borderId="0" xfId="0" applyFont="1" applyFill="1" applyAlignment="1">
      <alignment vertical="center"/>
    </xf>
    <xf numFmtId="0" fontId="8" fillId="4" borderId="0" xfId="0" applyFont="1" applyFill="1" applyAlignment="1">
      <alignment vertical="center"/>
    </xf>
    <xf numFmtId="0" fontId="9" fillId="4" borderId="14" xfId="0" applyFont="1" applyFill="1" applyBorder="1" applyAlignment="1">
      <alignment vertical="center" wrapText="1"/>
    </xf>
    <xf numFmtId="0" fontId="9" fillId="4" borderId="15" xfId="0" applyFont="1" applyFill="1" applyBorder="1" applyAlignment="1">
      <alignment vertical="center" wrapText="1"/>
    </xf>
    <xf numFmtId="0" fontId="9" fillId="4" borderId="16" xfId="0" applyFont="1" applyFill="1" applyBorder="1" applyAlignment="1">
      <alignment vertical="center" wrapText="1"/>
    </xf>
    <xf numFmtId="0" fontId="9" fillId="4" borderId="12" xfId="0" applyFont="1" applyFill="1" applyBorder="1" applyAlignment="1">
      <alignment vertical="center" wrapText="1"/>
    </xf>
    <xf numFmtId="0" fontId="8" fillId="4" borderId="11" xfId="0" applyFont="1" applyFill="1" applyBorder="1" applyAlignment="1">
      <alignment vertical="center" wrapText="1"/>
    </xf>
    <xf numFmtId="0" fontId="8" fillId="4" borderId="13" xfId="0" applyFont="1" applyFill="1" applyBorder="1" applyAlignment="1">
      <alignment vertical="center" wrapText="1"/>
    </xf>
    <xf numFmtId="10" fontId="8" fillId="4" borderId="11" xfId="0" applyNumberFormat="1" applyFont="1" applyFill="1" applyBorder="1" applyAlignment="1">
      <alignment vertical="center" wrapText="1"/>
    </xf>
    <xf numFmtId="0" fontId="9" fillId="4" borderId="17" xfId="0" applyFont="1" applyFill="1" applyBorder="1" applyAlignment="1">
      <alignment vertical="center" wrapText="1"/>
    </xf>
    <xf numFmtId="0" fontId="8" fillId="4" borderId="18" xfId="0" applyFont="1" applyFill="1" applyBorder="1" applyAlignment="1">
      <alignment vertical="center" wrapText="1"/>
    </xf>
    <xf numFmtId="0" fontId="8" fillId="4" borderId="19" xfId="0" applyFont="1" applyFill="1" applyBorder="1" applyAlignment="1">
      <alignment vertical="center" wrapText="1"/>
    </xf>
    <xf numFmtId="0" fontId="11" fillId="4" borderId="0" xfId="0" applyFont="1" applyFill="1" applyAlignment="1">
      <alignment vertical="center"/>
    </xf>
    <xf numFmtId="0" fontId="0" fillId="4" borderId="0" xfId="0" applyFill="1" applyAlignment="1">
      <alignment horizontal="left" vertical="center" indent="1"/>
    </xf>
    <xf numFmtId="0" fontId="9" fillId="4" borderId="0" xfId="0" applyFont="1" applyFill="1" applyAlignment="1">
      <alignment horizontal="left" vertical="center" indent="1"/>
    </xf>
    <xf numFmtId="0" fontId="0" fillId="4" borderId="0" xfId="0" applyFill="1" applyAlignment="1">
      <alignment vertical="center"/>
    </xf>
    <xf numFmtId="0" fontId="12" fillId="4" borderId="0" xfId="0" applyFont="1" applyFill="1" applyAlignment="1">
      <alignment vertical="center"/>
    </xf>
    <xf numFmtId="0" fontId="12" fillId="4" borderId="0" xfId="0" applyFont="1" applyFill="1" applyAlignment="1">
      <alignment horizontal="center" vertical="center"/>
    </xf>
    <xf numFmtId="0" fontId="12" fillId="4" borderId="0" xfId="0" applyFont="1" applyFill="1" applyAlignment="1">
      <alignment vertical="center"/>
    </xf>
    <xf numFmtId="0" fontId="0" fillId="2" borderId="0" xfId="0" applyFill="1" applyBorder="1"/>
  </cellXfs>
  <cellStyles count="2">
    <cellStyle name="Normal" xfId="0" builtinId="0"/>
    <cellStyle name="Percent" xfId="1" builtinId="5"/>
  </cellStyles>
  <dxfs count="15">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medium">
          <color rgb="FFC4C7C5"/>
        </left>
        <right style="medium">
          <color rgb="FFC4C7C5"/>
        </right>
        <top/>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medium">
          <color rgb="FFC4C7C5"/>
        </left>
        <right/>
        <top style="medium">
          <color rgb="FFC4C7C5"/>
        </top>
        <bottom style="medium">
          <color rgb="FFC4C7C5"/>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medium">
          <color rgb="FFC4C7C5"/>
        </left>
        <right style="medium">
          <color rgb="FFC4C7C5"/>
        </right>
        <top style="medium">
          <color rgb="FFC4C7C5"/>
        </top>
        <bottom style="medium">
          <color rgb="FFC4C7C5"/>
        </bottom>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style="medium">
          <color rgb="FFC4C7C5"/>
        </right>
        <top style="medium">
          <color rgb="FFC4C7C5"/>
        </top>
        <bottom style="medium">
          <color rgb="FFC4C7C5"/>
        </bottom>
      </border>
    </dxf>
    <dxf>
      <border outline="0">
        <top style="medium">
          <color rgb="FFC4C7C5"/>
        </top>
      </border>
    </dxf>
    <dxf>
      <border outline="0">
        <bottom style="medium">
          <color rgb="FFC4C7C5"/>
        </bottom>
      </border>
    </dxf>
    <dxf>
      <border outline="0">
        <left style="medium">
          <color rgb="FFC4C7C5"/>
        </left>
        <right style="medium">
          <color rgb="FFC4C7C5"/>
        </right>
        <top style="medium">
          <color rgb="FFC4C7C5"/>
        </top>
        <bottom style="medium">
          <color rgb="FFC4C7C5"/>
        </bottom>
      </border>
    </dxf>
    <dxf>
      <numFmt numFmtId="13" formatCode="0%"/>
    </dxf>
    <dxf>
      <numFmt numFmtId="13" formatCode="0%"/>
    </dxf>
    <dxf>
      <fill>
        <patternFill patternType="solid">
          <bgColor theme="1" tint="0.34998626667073579"/>
        </patternFill>
      </fill>
    </dxf>
    <dxf>
      <fill>
        <gradientFill degree="90">
          <stop position="0">
            <color theme="0"/>
          </stop>
          <stop position="1">
            <color theme="4"/>
          </stop>
        </gradientFill>
      </fill>
    </dxf>
  </dxfs>
  <tableStyles count="2" defaultTableStyle="TableStyleMedium2" defaultPivotStyle="PivotStyleLight16">
    <tableStyle name="Table Style 1" pivot="0" count="1" xr9:uid="{BB1F6810-2495-4336-AD2B-D817FE75B4FE}">
      <tableStyleElement type="firstRowStripe" dxfId="14"/>
    </tableStyle>
    <tableStyle name="Table Style 2" pivot="0" count="1" xr9:uid="{0E71382C-63C3-43F8-9947-353AA857FC6D}">
      <tableStyleElement type="firstRowStripe" dxfId="13"/>
    </tableStyle>
  </tableStyles>
  <colors>
    <mruColors>
      <color rgb="FFBBBB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[Week_01_Excel_Project.xlsx]raw_capstone_orders!PivotTable6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raw_capstone_orders!$B$5</c:f>
              <c:strCache>
                <c:ptCount val="1"/>
                <c:pt idx="0">
                  <c:v>Total</c:v>
                </c:pt>
              </c:strCache>
            </c:strRef>
          </c:tx>
          <c:spPr>
            <a:solidFill>
              <a:schemeClr val="accent1"/>
            </a:solidFill>
            <a:ln>
              <a:noFill/>
            </a:ln>
            <a:effectLst/>
          </c:spPr>
          <c:invertIfNegative val="0"/>
          <c:cat>
            <c:strRef>
              <c:f>raw_capstone_orders!$A$6:$A$11</c:f>
              <c:strCache>
                <c:ptCount val="5"/>
                <c:pt idx="0">
                  <c:v>Central</c:v>
                </c:pt>
                <c:pt idx="1">
                  <c:v>East</c:v>
                </c:pt>
                <c:pt idx="2">
                  <c:v>North</c:v>
                </c:pt>
                <c:pt idx="3">
                  <c:v>South</c:v>
                </c:pt>
                <c:pt idx="4">
                  <c:v>West</c:v>
                </c:pt>
              </c:strCache>
            </c:strRef>
          </c:cat>
          <c:val>
            <c:numRef>
              <c:f>raw_capstone_orders!$B$6:$B$11</c:f>
              <c:numCache>
                <c:formatCode>0</c:formatCode>
                <c:ptCount val="5"/>
                <c:pt idx="0">
                  <c:v>1700</c:v>
                </c:pt>
                <c:pt idx="1">
                  <c:v>6900</c:v>
                </c:pt>
                <c:pt idx="2">
                  <c:v>9200</c:v>
                </c:pt>
                <c:pt idx="3">
                  <c:v>7150</c:v>
                </c:pt>
                <c:pt idx="4">
                  <c:v>7600</c:v>
                </c:pt>
              </c:numCache>
            </c:numRef>
          </c:val>
          <c:extLst>
            <c:ext xmlns:c16="http://schemas.microsoft.com/office/drawing/2014/chart" uri="{C3380CC4-5D6E-409C-BE32-E72D297353CC}">
              <c16:uniqueId val="{00000000-1269-42D0-B3AA-89A50EE31CEE}"/>
            </c:ext>
          </c:extLst>
        </c:ser>
        <c:dLbls>
          <c:showLegendKey val="0"/>
          <c:showVal val="0"/>
          <c:showCatName val="0"/>
          <c:showSerName val="0"/>
          <c:showPercent val="0"/>
          <c:showBubbleSize val="0"/>
        </c:dLbls>
        <c:gapWidth val="182"/>
        <c:axId val="443442847"/>
        <c:axId val="442528592"/>
      </c:barChart>
      <c:catAx>
        <c:axId val="44344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8592"/>
        <c:crosses val="autoZero"/>
        <c:auto val="1"/>
        <c:lblAlgn val="ctr"/>
        <c:lblOffset val="100"/>
        <c:noMultiLvlLbl val="0"/>
      </c:catAx>
      <c:valAx>
        <c:axId val="4425285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[Week_01_Excel_Project.xlsx]raw_capstone_orders!PivotTable8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raw_capstone_orders!$F$5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raw_capstone_orders!$E$6:$E$8</c:f>
              <c:strCache>
                <c:ptCount val="2"/>
                <c:pt idx="0">
                  <c:v>ONLINE</c:v>
                </c:pt>
                <c:pt idx="1">
                  <c:v>RETAIL</c:v>
                </c:pt>
              </c:strCache>
            </c:strRef>
          </c:cat>
          <c:val>
            <c:numRef>
              <c:f>raw_capstone_orders!$F$6:$F$8</c:f>
              <c:numCache>
                <c:formatCode>0</c:formatCode>
                <c:ptCount val="2"/>
                <c:pt idx="0">
                  <c:v>18500</c:v>
                </c:pt>
                <c:pt idx="1">
                  <c:v>14050</c:v>
                </c:pt>
              </c:numCache>
            </c:numRef>
          </c:val>
          <c:extLst>
            <c:ext xmlns:c16="http://schemas.microsoft.com/office/drawing/2014/chart" uri="{C3380CC4-5D6E-409C-BE32-E72D297353CC}">
              <c16:uniqueId val="{00000000-A182-4A4C-888B-5C6A8A88AE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[Week_01_Excel_Project.xlsx]raw_capstone_orders!PivotTable9</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raw_capstone_orders!$J$5:$J$9</c:f>
              <c:strCache>
                <c:ptCount val="1"/>
                <c:pt idx="0">
                  <c:v>2025</c:v>
                </c:pt>
              </c:strCache>
            </c:strRef>
          </c:tx>
          <c:spPr>
            <a:ln w="28575" cap="rnd">
              <a:solidFill>
                <a:schemeClr val="accent1"/>
              </a:solidFill>
              <a:round/>
            </a:ln>
            <a:effectLst/>
          </c:spPr>
          <c:marker>
            <c:symbol val="none"/>
          </c:marker>
          <c:cat>
            <c:strRef>
              <c:f>raw_capstone_orders!$I$10</c:f>
              <c:strCache>
                <c:ptCount val="1"/>
                <c:pt idx="0">
                  <c:v>Total</c:v>
                </c:pt>
              </c:strCache>
            </c:strRef>
          </c:cat>
          <c:val>
            <c:numRef>
              <c:f>raw_capstone_orders!$J$10</c:f>
              <c:numCache>
                <c:formatCode>0</c:formatCode>
                <c:ptCount val="1"/>
                <c:pt idx="0">
                  <c:v>14200</c:v>
                </c:pt>
              </c:numCache>
            </c:numRef>
          </c:val>
          <c:smooth val="0"/>
          <c:extLst>
            <c:ext xmlns:c16="http://schemas.microsoft.com/office/drawing/2014/chart" uri="{C3380CC4-5D6E-409C-BE32-E72D297353CC}">
              <c16:uniqueId val="{00000000-4850-4382-8B50-88218DB616B5}"/>
            </c:ext>
          </c:extLst>
        </c:ser>
        <c:ser>
          <c:idx val="1"/>
          <c:order val="1"/>
          <c:tx>
            <c:strRef>
              <c:f>raw_capstone_orders!$K$5:$K$9</c:f>
              <c:strCache>
                <c:ptCount val="1"/>
                <c:pt idx="0">
                  <c:v>2026</c:v>
                </c:pt>
              </c:strCache>
            </c:strRef>
          </c:tx>
          <c:spPr>
            <a:ln w="28575" cap="rnd">
              <a:solidFill>
                <a:schemeClr val="accent2"/>
              </a:solidFill>
              <a:round/>
            </a:ln>
            <a:effectLst/>
          </c:spPr>
          <c:marker>
            <c:symbol val="none"/>
          </c:marker>
          <c:cat>
            <c:strRef>
              <c:f>raw_capstone_orders!$I$10</c:f>
              <c:strCache>
                <c:ptCount val="1"/>
                <c:pt idx="0">
                  <c:v>Total</c:v>
                </c:pt>
              </c:strCache>
            </c:strRef>
          </c:cat>
          <c:val>
            <c:numRef>
              <c:f>raw_capstone_orders!$K$10</c:f>
              <c:numCache>
                <c:formatCode>0</c:formatCode>
                <c:ptCount val="1"/>
                <c:pt idx="0">
                  <c:v>18350</c:v>
                </c:pt>
              </c:numCache>
            </c:numRef>
          </c:val>
          <c:smooth val="0"/>
          <c:extLst>
            <c:ext xmlns:c16="http://schemas.microsoft.com/office/drawing/2014/chart" uri="{C3380CC4-5D6E-409C-BE32-E72D297353CC}">
              <c16:uniqueId val="{00000001-4850-4382-8B50-88218DB616B5}"/>
            </c:ext>
          </c:extLst>
        </c:ser>
        <c:dLbls>
          <c:showLegendKey val="0"/>
          <c:showVal val="0"/>
          <c:showCatName val="0"/>
          <c:showSerName val="0"/>
          <c:showPercent val="0"/>
          <c:showBubbleSize val="0"/>
        </c:dLbls>
        <c:smooth val="0"/>
        <c:axId val="442385791"/>
        <c:axId val="442526672"/>
      </c:lineChart>
      <c:catAx>
        <c:axId val="4423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6672"/>
        <c:crosses val="autoZero"/>
        <c:auto val="1"/>
        <c:lblAlgn val="ctr"/>
        <c:lblOffset val="100"/>
        <c:noMultiLvlLbl val="0"/>
      </c:catAx>
      <c:valAx>
        <c:axId val="442526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8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[Week_01_Excel_Project.xlsx]Sheet4!PivotTable12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BY REGION</a:t>
            </a:r>
            <a:endParaRPr lang="en-US" b="1" baseline="0">
              <a:solidFill>
                <a:sysClr val="windowText" lastClr="000000"/>
              </a:solidFill>
            </a:endParaRPr>
          </a:p>
        </c:rich>
      </c:tx>
      <c:layout>
        <c:manualLayout>
          <c:xMode val="edge"/>
          <c:yMode val="edge"/>
          <c:x val="0.14682133778398376"/>
          <c:y val="1.77609377775146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circle"/>
          <c:size val="5"/>
          <c:spPr>
            <a:solidFill>
              <a:schemeClr val="accent1"/>
            </a:solidFill>
            <a:ln w="9525">
              <a:solidFill>
                <a:schemeClr val="accent1"/>
              </a:solidFill>
            </a:ln>
            <a:effectLst/>
          </c:spPr>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Sheet4!$B$5</c:f>
              <c:strCache>
                <c:ptCount val="1"/>
                <c:pt idx="0">
                  <c:v>Total</c:v>
                </c:pt>
              </c:strCache>
            </c:strRef>
          </c:tx>
          <c:spPr>
            <a:solidFill>
              <a:srgbClr val="0070C0"/>
            </a:solidFill>
            <a:ln>
              <a:noFill/>
            </a:ln>
            <a:effectLst/>
          </c:spPr>
          <c:invertIfNegative val="0"/>
          <c:dLbls>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Sheet4!$A$6:$A$11</c:f>
              <c:strCache>
                <c:ptCount val="5"/>
                <c:pt idx="0">
                  <c:v>Central Express</c:v>
                </c:pt>
                <c:pt idx="1">
                  <c:v>East Hub</c:v>
                </c:pt>
                <c:pt idx="2">
                  <c:v>North Flagship</c:v>
                </c:pt>
                <c:pt idx="3">
                  <c:v>South Outlet</c:v>
                </c:pt>
                <c:pt idx="4">
                  <c:v>West Flagship</c:v>
                </c:pt>
              </c:strCache>
            </c:strRef>
          </c:cat>
          <c:val>
            <c:numRef>
              <c:f>Sheet4!$B$6:$B$11</c:f>
              <c:numCache>
                <c:formatCode>0</c:formatCode>
                <c:ptCount val="5"/>
                <c:pt idx="0">
                  <c:v>1700</c:v>
                </c:pt>
                <c:pt idx="1">
                  <c:v>6900</c:v>
                </c:pt>
                <c:pt idx="2">
                  <c:v>9200</c:v>
                </c:pt>
                <c:pt idx="3">
                  <c:v>7150</c:v>
                </c:pt>
                <c:pt idx="4">
                  <c:v>7600</c:v>
                </c:pt>
              </c:numCache>
            </c:numRef>
          </c:val>
          <c:extLst>
            <c:ext xmlns:c16="http://schemas.microsoft.com/office/drawing/2014/chart" uri="{C3380CC4-5D6E-409C-BE32-E72D297353CC}">
              <c16:uniqueId val="{00000003-480A-4F3F-BEEA-24047BB6AD38}"/>
            </c:ext>
          </c:extLst>
        </c:ser>
        <c:dLbls>
          <c:dLblPos val="inEnd"/>
          <c:showLegendKey val="0"/>
          <c:showVal val="1"/>
          <c:showCatName val="0"/>
          <c:showSerName val="0"/>
          <c:showPercent val="0"/>
          <c:showBubbleSize val="0"/>
        </c:dLbls>
        <c:gapWidth val="182"/>
        <c:axId val="443542607"/>
        <c:axId val="442509872"/>
      </c:barChart>
      <c:catAx>
        <c:axId val="44354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09872"/>
        <c:crosses val="autoZero"/>
        <c:auto val="1"/>
        <c:lblAlgn val="ctr"/>
        <c:lblOffset val="100"/>
        <c:noMultiLvlLbl val="0"/>
      </c:catAx>
      <c:valAx>
        <c:axId val="442509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54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[Week_01_Excel_Project.xlsx]Sheet4!PivotTable13</c:name>
    <c:fmtId val="2"/>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solidFill>
                  <a:sysClr val="windowText" lastClr="000000"/>
                </a:solidFill>
              </a:rPr>
              <a:t>Profit</a:t>
            </a:r>
            <a:r>
              <a:rPr lang="en-US" baseline="0">
                <a:solidFill>
                  <a:sysClr val="windowText" lastClr="000000"/>
                </a:solidFill>
              </a:rPr>
              <a:t> by Category</a:t>
            </a:r>
          </a:p>
        </c:rich>
      </c:tx>
      <c:layout>
        <c:manualLayout>
          <c:xMode val="edge"/>
          <c:yMode val="edge"/>
          <c:x val="0.15797317002041408"/>
          <c:y val="3.13867016622922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50"/>
          </a:solidFill>
          <a:ln>
            <a:solidFill>
              <a:srgbClr val="00B050"/>
            </a:solidFill>
          </a:ln>
          <a:effectLst/>
          <a:scene3d>
            <a:camera prst="orthographicFront"/>
            <a:lightRig rig="brightRoom" dir="t"/>
          </a:scene3d>
          <a:sp3d prstMaterial="flat">
            <a:bevelT w="50800" h="101600" prst="angle"/>
            <a:contourClr>
              <a:srgbClr val="000000"/>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scene3d>
            <a:camera prst="orthographicFront"/>
            <a:lightRig rig="brightRoom" dir="t"/>
          </a:scene3d>
          <a:sp3d prstMaterial="flat">
            <a:bevelT w="50800" h="101600" prst="angle"/>
            <a:contourClr>
              <a:srgbClr val="000000"/>
            </a:contourClr>
          </a:sp3d>
        </c:spP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778847088558377"/>
          <c:y val="0.13876640419947506"/>
          <c:w val="0.36198023255627898"/>
          <c:h val="0.8246781131525226"/>
        </c:manualLayout>
      </c:layout>
      <c:doughnutChart>
        <c:varyColors val="1"/>
        <c:ser>
          <c:idx val="0"/>
          <c:order val="0"/>
          <c:tx>
            <c:strRef>
              <c:f>Sheet4!$E$5</c:f>
              <c:strCache>
                <c:ptCount val="1"/>
                <c:pt idx="0">
                  <c:v>Total</c:v>
                </c:pt>
              </c:strCache>
            </c:strRef>
          </c:tx>
          <c:dPt>
            <c:idx val="0"/>
            <c:bubble3D val="0"/>
            <c:spPr>
              <a:solidFill>
                <a:srgbClr val="00B050"/>
              </a:solidFill>
              <a:ln>
                <a:solidFill>
                  <a:srgbClr val="00B05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FF6-406E-9492-FC4A5DCCF8B6}"/>
              </c:ext>
            </c:extLst>
          </c:dPt>
          <c:dPt>
            <c:idx val="1"/>
            <c:bubble3D val="0"/>
            <c:spPr>
              <a:solidFill>
                <a:srgbClr val="0070C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F6-406E-9492-FC4A5DCCF8B6}"/>
              </c:ext>
            </c:extLst>
          </c:dPt>
          <c:dLbls>
            <c:dLbl>
              <c:idx val="0"/>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FF6-406E-9492-FC4A5DCCF8B6}"/>
                </c:ext>
              </c:extLst>
            </c:dLbl>
            <c:dLbl>
              <c:idx val="1"/>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FF6-406E-9492-FC4A5DCCF8B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Sheet4!$D$6:$D$8</c:f>
              <c:strCache>
                <c:ptCount val="2"/>
                <c:pt idx="0">
                  <c:v>Services</c:v>
                </c:pt>
                <c:pt idx="1">
                  <c:v>Software</c:v>
                </c:pt>
              </c:strCache>
            </c:strRef>
          </c:cat>
          <c:val>
            <c:numRef>
              <c:f>Sheet4!$E$6:$E$8</c:f>
              <c:numCache>
                <c:formatCode>General</c:formatCode>
                <c:ptCount val="2"/>
                <c:pt idx="0">
                  <c:v>3700</c:v>
                </c:pt>
                <c:pt idx="1">
                  <c:v>21150</c:v>
                </c:pt>
              </c:numCache>
            </c:numRef>
          </c:val>
          <c:extLst>
            <c:ext xmlns:c16="http://schemas.microsoft.com/office/drawing/2014/chart" uri="{C3380CC4-5D6E-409C-BE32-E72D297353CC}">
              <c16:uniqueId val="{00000004-EFF6-406E-9492-FC4A5DCCF8B6}"/>
            </c:ext>
          </c:extLst>
        </c:ser>
        <c:dLbls>
          <c:showLegendKey val="0"/>
          <c:showVal val="0"/>
          <c:showCatName val="0"/>
          <c:showSerName val="0"/>
          <c:showPercent val="0"/>
          <c:showBubbleSize val="0"/>
          <c:showLeaderLines val="0"/>
        </c:dLbls>
        <c:firstSliceAng val="282"/>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59690</xdr:colOff>
      <xdr:row>11</xdr:row>
      <xdr:rowOff>88899</xdr:rowOff>
    </xdr:from>
    <xdr:to>
      <xdr:col>3</xdr:col>
      <xdr:colOff>609600</xdr:colOff>
      <xdr:row>24</xdr:row>
      <xdr:rowOff>173990</xdr:rowOff>
    </xdr:to>
    <xdr:graphicFrame macro="">
      <xdr:nvGraphicFramePr>
        <xdr:cNvPr id="2" name="Chart 1">
          <a:extLst>
            <a:ext uri="{FF2B5EF4-FFF2-40B4-BE49-F238E27FC236}">
              <a16:creationId xmlns:a16="http://schemas.microsoft.com/office/drawing/2014/main" id="{AE0D2E7F-E084-C244-D425-7153B66AE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746760</xdr:colOff>
      <xdr:row>11</xdr:row>
      <xdr:rowOff>68580</xdr:rowOff>
    </xdr:from>
    <xdr:to>
      <xdr:col>7</xdr:col>
      <xdr:colOff>929640</xdr:colOff>
      <xdr:row>25</xdr:row>
      <xdr:rowOff>20320</xdr:rowOff>
    </xdr:to>
    <xdr:graphicFrame macro="">
      <xdr:nvGraphicFramePr>
        <xdr:cNvPr id="6" name="Chart 5">
          <a:extLst>
            <a:ext uri="{FF2B5EF4-FFF2-40B4-BE49-F238E27FC236}">
              <a16:creationId xmlns:a16="http://schemas.microsoft.com/office/drawing/2014/main" id="{E0259CE2-C32A-E50B-C312-86D890DF2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1016000</xdr:colOff>
      <xdr:row>11</xdr:row>
      <xdr:rowOff>99060</xdr:rowOff>
    </xdr:from>
    <xdr:to>
      <xdr:col>14</xdr:col>
      <xdr:colOff>17780</xdr:colOff>
      <xdr:row>25</xdr:row>
      <xdr:rowOff>7620</xdr:rowOff>
    </xdr:to>
    <xdr:graphicFrame macro="">
      <xdr:nvGraphicFramePr>
        <xdr:cNvPr id="7" name="Chart 6">
          <a:extLst>
            <a:ext uri="{FF2B5EF4-FFF2-40B4-BE49-F238E27FC236}">
              <a16:creationId xmlns:a16="http://schemas.microsoft.com/office/drawing/2014/main" id="{392389DC-E483-C494-B714-526F1F92E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421640</xdr:colOff>
      <xdr:row>25</xdr:row>
      <xdr:rowOff>176531</xdr:rowOff>
    </xdr:from>
    <xdr:to>
      <xdr:col>4</xdr:col>
      <xdr:colOff>254000</xdr:colOff>
      <xdr:row>35</xdr:row>
      <xdr:rowOff>38100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90EA47B-3FFC-CEA1-6353-601E16762A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00020" y="4745991"/>
              <a:ext cx="1818640" cy="169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25</xdr:row>
      <xdr:rowOff>173990</xdr:rowOff>
    </xdr:from>
    <xdr:to>
      <xdr:col>1</xdr:col>
      <xdr:colOff>1125220</xdr:colOff>
      <xdr:row>33</xdr:row>
      <xdr:rowOff>115569</xdr:rowOff>
    </xdr:to>
    <mc:AlternateContent xmlns:mc="http://schemas.openxmlformats.org/markup-compatibility/2006">
      <mc:Choice xmlns:a14="http://schemas.microsoft.com/office/drawing/2010/main" Requires="a14">
        <xdr:graphicFrame macro="">
          <xdr:nvGraphicFramePr>
            <xdr:cNvPr id="9" name="Sales_Channel">
              <a:extLst>
                <a:ext uri="{FF2B5EF4-FFF2-40B4-BE49-F238E27FC236}">
                  <a16:creationId xmlns:a16="http://schemas.microsoft.com/office/drawing/2014/main" id="{C9F70D01-2E95-0215-6CC4-7026ED23AE10}"/>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220980" y="4749800"/>
              <a:ext cx="1845310" cy="1400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397510</xdr:colOff>
      <xdr:row>25</xdr:row>
      <xdr:rowOff>180340</xdr:rowOff>
    </xdr:from>
    <xdr:to>
      <xdr:col>6</xdr:col>
      <xdr:colOff>1661160</xdr:colOff>
      <xdr:row>33</xdr:row>
      <xdr:rowOff>101600</xdr:rowOff>
    </xdr:to>
    <mc:AlternateContent xmlns:mc="http://schemas.openxmlformats.org/markup-compatibility/2006">
      <mc:Choice xmlns:tsle="http://schemas.microsoft.com/office/drawing/2012/timeslicer" Requires="tsle">
        <xdr:graphicFrame macro="">
          <xdr:nvGraphicFramePr>
            <xdr:cNvPr id="10" name="Order_Date_Raw">
              <a:extLst>
                <a:ext uri="{FF2B5EF4-FFF2-40B4-BE49-F238E27FC236}">
                  <a16:creationId xmlns:a16="http://schemas.microsoft.com/office/drawing/2014/main" id="{34E78BD8-172C-5726-99A0-4D93135DCC81}"/>
                </a:ext>
              </a:extLst>
            </xdr:cNvPr>
            <xdr:cNvGraphicFramePr/>
          </xdr:nvGraphicFramePr>
          <xdr:xfrm>
            <a:off x="0" y="0"/>
            <a:ext cx="0" cy="0"/>
          </xdr:xfrm>
          <a:graphic>
            <a:graphicData uri="http://schemas.microsoft.com/office/drawing/2012/timeslicer">
              <tsle:timeslicer xmlns:tsle="http://schemas.microsoft.com/office/drawing/2012/timeslicer" name="Order_Date_Raw"/>
            </a:graphicData>
          </a:graphic>
        </xdr:graphicFrame>
      </mc:Choice>
      <mc:Fallback>
        <xdr:sp macro="" textlink="">
          <xdr:nvSpPr>
            <xdr:cNvPr id="0" name=""/>
            <xdr:cNvSpPr>
              <a:spLocks noTextEdit="1"/>
            </xdr:cNvSpPr>
          </xdr:nvSpPr>
          <xdr:spPr>
            <a:xfrm>
              <a:off x="4668520" y="4749800"/>
              <a:ext cx="3322320" cy="1384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17</xdr:col>
      <xdr:colOff>20320</xdr:colOff>
      <xdr:row>8</xdr:row>
      <xdr:rowOff>22860</xdr:rowOff>
    </xdr:from>
    <xdr:to>
      <xdr:col>24</xdr:col>
      <xdr:colOff>0</xdr:colOff>
      <xdr:row>11</xdr:row>
      <xdr:rowOff>176530</xdr:rowOff>
    </xdr:to>
    <mc:AlternateContent xmlns:mc="http://schemas.openxmlformats.org/markup-compatibility/2006">
      <mc:Choice xmlns:tsle="http://schemas.microsoft.com/office/drawing/2012/timeslicer" Requires="tsle">
        <xdr:graphicFrame macro="">
          <xdr:nvGraphicFramePr>
            <xdr:cNvPr id="8" name="Order_Date_Raw 1">
              <a:extLst>
                <a:ext uri="{FF2B5EF4-FFF2-40B4-BE49-F238E27FC236}">
                  <a16:creationId xmlns:a16="http://schemas.microsoft.com/office/drawing/2014/main" id="{D1550138-210F-4B17-B261-D337B76B29B2}"/>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Order_Date_Raw 1"/>
            </a:graphicData>
          </a:graphic>
        </xdr:graphicFrame>
      </mc:Choice>
      <mc:Fallback>
        <xdr:sp macro="" textlink="">
          <xdr:nvSpPr>
            <xdr:cNvPr id="0" name=""/>
            <xdr:cNvSpPr>
              <a:spLocks noTextEdit="1"/>
            </xdr:cNvSpPr>
          </xdr:nvSpPr>
          <xdr:spPr>
            <a:xfrm>
              <a:off x="10387330" y="1483360"/>
              <a:ext cx="4243070" cy="7023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29210</xdr:colOff>
      <xdr:row>13</xdr:row>
      <xdr:rowOff>21590</xdr:rowOff>
    </xdr:from>
    <xdr:to>
      <xdr:col>12</xdr:col>
      <xdr:colOff>581660</xdr:colOff>
      <xdr:row>27</xdr:row>
      <xdr:rowOff>165100</xdr:rowOff>
    </xdr:to>
    <xdr:graphicFrame macro="">
      <xdr:nvGraphicFramePr>
        <xdr:cNvPr id="2" name="Chart 1">
          <a:extLst>
            <a:ext uri="{FF2B5EF4-FFF2-40B4-BE49-F238E27FC236}">
              <a16:creationId xmlns:a16="http://schemas.microsoft.com/office/drawing/2014/main" id="{3C7E5F26-F223-74A5-1685-1DB85AC78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596900</xdr:colOff>
      <xdr:row>13</xdr:row>
      <xdr:rowOff>15240</xdr:rowOff>
    </xdr:from>
    <xdr:to>
      <xdr:col>24</xdr:col>
      <xdr:colOff>63500</xdr:colOff>
      <xdr:row>28</xdr:row>
      <xdr:rowOff>15240</xdr:rowOff>
    </xdr:to>
    <xdr:graphicFrame macro="">
      <xdr:nvGraphicFramePr>
        <xdr:cNvPr id="3" name="Chart 2">
          <a:extLst>
            <a:ext uri="{FF2B5EF4-FFF2-40B4-BE49-F238E27FC236}">
              <a16:creationId xmlns:a16="http://schemas.microsoft.com/office/drawing/2014/main" id="{EAEC3E10-5C82-3BDA-D7A7-85F9D5BE2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15240</xdr:colOff>
      <xdr:row>8</xdr:row>
      <xdr:rowOff>13971</xdr:rowOff>
    </xdr:from>
    <xdr:to>
      <xdr:col>7</xdr:col>
      <xdr:colOff>591820</xdr:colOff>
      <xdr:row>11</xdr:row>
      <xdr:rowOff>152400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54FBDB40-4AAF-4186-A1C1-CF10FF6AB1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27380" y="1479551"/>
              <a:ext cx="4235450" cy="684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27940</xdr:colOff>
      <xdr:row>8</xdr:row>
      <xdr:rowOff>35561</xdr:rowOff>
    </xdr:from>
    <xdr:to>
      <xdr:col>15</xdr:col>
      <xdr:colOff>593090</xdr:colOff>
      <xdr:row>11</xdr:row>
      <xdr:rowOff>138431</xdr:rowOff>
    </xdr:to>
    <mc:AlternateContent xmlns:mc="http://schemas.openxmlformats.org/markup-compatibility/2006">
      <mc:Choice xmlns:a14="http://schemas.microsoft.com/office/drawing/2010/main" Requires="a14">
        <xdr:graphicFrame macro="">
          <xdr:nvGraphicFramePr>
            <xdr:cNvPr id="5" name="Sales_Channel 1">
              <a:extLst>
                <a:ext uri="{FF2B5EF4-FFF2-40B4-BE49-F238E27FC236}">
                  <a16:creationId xmlns:a16="http://schemas.microsoft.com/office/drawing/2014/main" id="{2166A6C2-B907-48A1-8F8D-7B5780F749F0}"/>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5511800" y="1498601"/>
              <a:ext cx="4229100" cy="648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88773146" backgroundQuery="1" createdVersion="8" refreshedVersion="8" minRefreshableVersion="3" recordCount="0" supportSubquery="1" supportAdvancedDrill="1" xr:uid="{E84F43D0-4449-486A-8297-F4B28E68B97A}">
  <cacheSource type="external" connectionId="4"/>
  <cacheFields count="3">
    <cacheField name="[Dim_Stores].[Store_Name].[Store_Name]" caption="Store_Name" numFmtId="0" hierarchy="5" level="1">
      <sharedItems count="5">
        <s v="Central Express"/>
        <s v="East Hub"/>
        <s v="North Flagship"/>
        <s v="South Outlet"/>
        <s v="West Flagship"/>
      </sharedItems>
    </cacheField>
    <cacheField name="[Measures].[Total_Revenue]" caption="Total_Revenue" numFmtId="0" hierarchy="27"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Unit_Cost_USD]" caption="Unit_Cost_USD" attribute="1" defaultMemberUniqueName="[Dim_Products].[Unit_Cost_USD].[All]" allUniqueName="[Dim_Products].[Unit_Cost_USD].[All]" dimensionUniqueName="[Dim_Products]" displayFolder="" count="2" memberValueDatatype="20" unbalanced="0"/>
    <cacheHierarchy uniqueName="[Dim_Stores].[Store_Code]" caption="Store_Code" attribute="1" defaultMemberUniqueName="[Dim_Stores].[Store_Code].[All]" allUniqueName="[Dim_Stores].[Store_Code].[All]" dimensionUniqueName="[Dim_Stores]" displayFolder="" count="2"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0"/>
      </fieldsUsage>
    </cacheHierarchy>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2"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2" memberValueDatatype="20" unbalanced="0"/>
    <cacheHierarchy uniqueName="[Fact_Sales].[Order_ID]" caption="Order_ID" attribute="1" defaultMemberUniqueName="[Fact_Sales].[Order_ID].[All]" allUniqueName="[Fact_Sales].[Order_ID].[All]" dimensionUniqueName="[Fact_Sales]" displayFolder="" count="2" memberValueDatatype="130" unbalanced="0"/>
    <cacheHierarchy uniqueName="[Fact_Sales].[Store_Code]" caption="Store_Code" attribute="1" defaultMemberUniqueName="[Fact_Sales].[Store_Code].[All]" allUniqueName="[Fact_Sales].[Store_Code].[All]" dimensionUniqueName="[Fact_Sales]" displayFolder="" count="2" memberValueDatatype="130" unbalanced="0"/>
    <cacheHierarchy uniqueName="[Fact_Sales].[Product_Code]" caption="Product_Code" attribute="1" defaultMemberUniqueName="[Fact_Sales].[Product_Code].[All]" allUniqueName="[Fact_Sales].[Product_Code].[All]" dimensionUniqueName="[Fact_Sales]" displayFolder="" count="2"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2"/>
      </fieldsUsage>
    </cacheHierarchy>
    <cacheHierarchy uniqueName="[Fact_Sales].[Platform_Type]" caption="Platform_Type" attribute="1" defaultMemberUniqueName="[Fact_Sales].[Platform_Type].[All]" allUniqueName="[Fact_Sales].[Platform_Type].[All]" dimensionUniqueName="[Fact_Sales]" displayFolder="" count="2" memberValueDatatype="130" unbalanced="0"/>
    <cacheHierarchy uniqueName="[Fact_Sales].[Units_Sold]" caption="Units_Sold" attribute="1" defaultMemberUniqueName="[Fact_Sales].[Units_Sold].[All]" allUniqueName="[Fact_Sales].[Units_Sold].[All]" dimensionUniqueName="[Fact_Sales]" displayFolder="" count="2" memberValueDatatype="20" unbalanced="0"/>
    <cacheHierarchy uniqueName="[Fact_Sales].[Gross_Revenue_USD]" caption="Gross_Revenue_USD" attribute="1" defaultMemberUniqueName="[Fact_Sales].[Gross_Revenue_USD].[All]" allUniqueName="[Fact_Sales].[Gross_Revenue_USD].[All]" dimensionUniqueName="[Fact_Sales]" displayFolder="" count="2" memberValueDatatype="5" unbalanced="0"/>
    <cacheHierarchy uniqueName="[Fact_Sales].[Discount_Code]" caption="Discount_Code" attribute="1" defaultMemberUniqueName="[Fact_Sales].[Discount_Code].[All]" allUniqueName="[Fact_Sales].[Discount_Code].[All]" dimensionUniqueName="[Fact_Sales]" displayFolder="" count="2"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2"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2"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2"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2"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oneField="1">
      <fieldsUsage count="1">
        <fieldUsage x="1"/>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89236108" backgroundQuery="1" createdVersion="8" refreshedVersion="8" minRefreshableVersion="3" recordCount="0" supportSubquery="1" supportAdvancedDrill="1" xr:uid="{CB6B9794-AF9A-4A96-B97E-A068B9D50C95}">
  <cacheSource type="external" connectionId="4"/>
  <cacheFields count="2">
    <cacheField name="[Measures].[Total_Revenue]" caption="Total_Revenue" numFmtId="0" hierarchy="27" level="32767"/>
    <cacheField name="[Fact_Sales].[Sales_Channel].[Sales_Channel]" caption="Sales_Channel" numFmtId="0" hierarchy="13" level="1">
      <sharedItems count="2">
        <s v="ONLINE"/>
        <s v="RETAIL"/>
      </sharedItems>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1"/>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oneField="1">
      <fieldsUsage count="1">
        <fieldUsage x="0"/>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89699077" backgroundQuery="1" createdVersion="8" refreshedVersion="8" minRefreshableVersion="3" recordCount="0" supportSubquery="1" supportAdvancedDrill="1" xr:uid="{F78AE9F9-A719-4196-852F-E0D9AD5793A8}">
  <cacheSource type="external" connectionId="4"/>
  <cacheFields count="3">
    <cacheField name="[Measures].[Total_Revenue]" caption="Total_Revenue" numFmtId="0" hierarchy="27" level="32767"/>
    <cacheField name="[Dim_Stores].[Region].[Region]" caption="Region" numFmtId="0" hierarchy="6" level="1">
      <sharedItems count="5">
        <s v="Central"/>
        <s v="East"/>
        <s v="North"/>
        <s v="South"/>
        <s v="West"/>
      </sharedItems>
    </cacheField>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1"/>
      </fieldsUsage>
    </cacheHierarchy>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2"/>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oneField="1">
      <fieldsUsage count="1">
        <fieldUsage x="0"/>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89814816" backgroundQuery="1" createdVersion="8" refreshedVersion="8" minRefreshableVersion="3" recordCount="0" supportSubquery="1" supportAdvancedDrill="1" xr:uid="{9926F8A9-C3AE-46D8-9660-F85186907A8C}">
  <cacheSource type="external" connectionId="4"/>
  <cacheFields count="2">
    <cacheField name="[Measures].[Average_Order_Value (AOV)]" caption="Average_Order_Value (AOV)" numFmtId="0" hierarchy="25"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1"/>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oneField="1">
      <fieldsUsage count="1">
        <fieldUsage x="0"/>
      </fieldsUsage>
    </cacheHierarchy>
    <cacheHierarchy uniqueName="[Measures].[Total_Units]" caption="Total_Units" measure="1" displayFolder="" measureGroup="Fact_Sales" count="0"/>
    <cacheHierarchy uniqueName="[Measures].[Total_Revenue]" caption="Total_Revenue" measure="1" displayFolder="" measureGroup="Fact_Sal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89930555" backgroundQuery="1" createdVersion="8" refreshedVersion="8" minRefreshableVersion="3" recordCount="0" supportSubquery="1" supportAdvancedDrill="1" xr:uid="{439D09C8-DA13-46D9-B6E6-81B38A26AF71}">
  <cacheSource type="external" connectionId="4"/>
  <cacheFields count="2">
    <cacheField name="[Measures].[Gross_Margin_Pct]" caption="Gross_Margin_Pct" numFmtId="0" hierarchy="24"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1"/>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oneField="1">
      <fieldsUsage count="1">
        <fieldUsage x="0"/>
      </fieldsUsage>
    </cacheHierarchy>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90162039" backgroundQuery="1" createdVersion="8" refreshedVersion="8" minRefreshableVersion="3" recordCount="0" supportSubquery="1" supportAdvancedDrill="1" xr:uid="{52074C74-5907-4EE0-908E-FD0E6B3969FE}">
  <cacheSource type="external" connectionId="4"/>
  <cacheFields count="2">
    <cacheField name="[Measures].[Total_Profit]" caption="Total_Profit" numFmtId="0" hierarchy="23"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1"/>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oneField="1">
      <fieldsUsage count="1">
        <fieldUsage x="0"/>
      </fieldsUsage>
    </cacheHierarchy>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90509263" backgroundQuery="1" createdVersion="8" refreshedVersion="8" minRefreshableVersion="3" recordCount="0" supportSubquery="1" supportAdvancedDrill="1" xr:uid="{E920B0C9-59AB-4A54-9BD4-87C2DFB4C86E}">
  <cacheSource type="external" connectionId="4"/>
  <cacheFields count="3">
    <cacheField name="[Measures].[Total_Revenue]" caption="Total_Revenue" numFmtId="0" hierarchy="27" level="32767"/>
    <cacheField name="[Measures].[_Total_Revenue Status]" caption="_Total_Revenue Status" numFmtId="0" hierarchy="33"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Unit_Cost_USD]" caption="Unit_Cost_USD" attribute="1" defaultMemberUniqueName="[Dim_Products].[Unit_Cost_USD].[All]" allUniqueName="[Dim_Products].[Unit_Cost_USD].[All]" dimensionUniqueName="[Dim_Products]" displayFolder="" count="2" memberValueDatatype="20" unbalanced="0"/>
    <cacheHierarchy uniqueName="[Dim_Stores].[Store_Code]" caption="Store_Code" attribute="1" defaultMemberUniqueName="[Dim_Stores].[Store_Code].[All]" allUniqueName="[Dim_Stores].[Store_Code].[All]" dimensionUniqueName="[Dim_Stores]" displayFolder="" count="2"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2"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2" memberValueDatatype="20" unbalanced="0"/>
    <cacheHierarchy uniqueName="[Fact_Sales].[Order_ID]" caption="Order_ID" attribute="1" defaultMemberUniqueName="[Fact_Sales].[Order_ID].[All]" allUniqueName="[Fact_Sales].[Order_ID].[All]" dimensionUniqueName="[Fact_Sales]" displayFolder="" count="2" memberValueDatatype="130" unbalanced="0"/>
    <cacheHierarchy uniqueName="[Fact_Sales].[Store_Code]" caption="Store_Code" attribute="1" defaultMemberUniqueName="[Fact_Sales].[Store_Code].[All]" allUniqueName="[Fact_Sales].[Store_Code].[All]" dimensionUniqueName="[Fact_Sales]" displayFolder="" count="2" memberValueDatatype="130" unbalanced="0"/>
    <cacheHierarchy uniqueName="[Fact_Sales].[Product_Code]" caption="Product_Code" attribute="1" defaultMemberUniqueName="[Fact_Sales].[Product_Code].[All]" allUniqueName="[Fact_Sales].[Product_Code].[All]" dimensionUniqueName="[Fact_Sales]" displayFolder="" count="2"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2"/>
      </fieldsUsage>
    </cacheHierarchy>
    <cacheHierarchy uniqueName="[Fact_Sales].[Platform_Type]" caption="Platform_Type" attribute="1" defaultMemberUniqueName="[Fact_Sales].[Platform_Type].[All]" allUniqueName="[Fact_Sales].[Platform_Type].[All]" dimensionUniqueName="[Fact_Sales]" displayFolder="" count="2" memberValueDatatype="130" unbalanced="0"/>
    <cacheHierarchy uniqueName="[Fact_Sales].[Units_Sold]" caption="Units_Sold" attribute="1" defaultMemberUniqueName="[Fact_Sales].[Units_Sold].[All]" allUniqueName="[Fact_Sales].[Units_Sold].[All]" dimensionUniqueName="[Fact_Sales]" displayFolder="" count="2" memberValueDatatype="20" unbalanced="0"/>
    <cacheHierarchy uniqueName="[Fact_Sales].[Gross_Revenue_USD]" caption="Gross_Revenue_USD" attribute="1" defaultMemberUniqueName="[Fact_Sales].[Gross_Revenue_USD].[All]" allUniqueName="[Fact_Sales].[Gross_Revenue_USD].[All]" dimensionUniqueName="[Fact_Sales]" displayFolder="" count="2" memberValueDatatype="5" unbalanced="0"/>
    <cacheHierarchy uniqueName="[Fact_Sales].[Discount_Code]" caption="Discount_Code" attribute="1" defaultMemberUniqueName="[Fact_Sales].[Discount_Code].[All]" allUniqueName="[Fact_Sales].[Discount_Code].[All]" dimensionUniqueName="[Fact_Sales]" displayFolder="" count="2"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2"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2"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2"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2"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oneField="1">
      <fieldsUsage count="1">
        <fieldUsage x="0"/>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oneField="1" hidden="1">
      <fieldsUsage count="1">
        <fieldUsage x="1"/>
      </fieldsUsage>
    </cacheHierarchy>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90856478" backgroundQuery="1" createdVersion="8" refreshedVersion="8" minRefreshableVersion="3" recordCount="0" supportSubquery="1" supportAdvancedDrill="1" xr:uid="{395E45FC-4547-4837-B1DC-EAD443374FE0}">
  <cacheSource type="external" connectionId="4"/>
  <cacheFields count="6">
    <cacheField name="[Measures].[Total_Revenue]" caption="Total_Revenue" numFmtId="0" hierarchy="27" level="32767"/>
    <cacheField name="[Fact_Sales].[Order_Date_Raw].[Order_Date_Raw]" caption="Order_Date_Raw" numFmtId="0" hierarchy="12" level="1">
      <sharedItems containsSemiMixedTypes="0" containsNonDate="0" containsDate="1" containsString="0" minDate="2025-07-01T00:00:00" maxDate="2026-09-21T00:00:00" count="16">
        <d v="2025-07-01T00:00:00"/>
        <d v="2025-07-02T00:00:00"/>
        <d v="2025-07-15T00:00:00"/>
        <d v="2025-08-01T00:00:00"/>
        <d v="2025-08-10T00:00:00"/>
        <d v="2025-08-22T00:00:00"/>
        <d v="2025-09-05T00:00:00"/>
        <d v="2025-09-18T00:00:00"/>
        <d v="2026-07-01T00:00:00"/>
        <d v="2026-07-03T00:00:00"/>
        <d v="2026-07-18T00:00:00"/>
        <d v="2026-08-05T00:00:00"/>
        <d v="2026-08-12T00:00:00"/>
        <d v="2026-08-25T00:00:00"/>
        <d v="2026-09-10T00:00:00"/>
        <d v="2026-09-20T00:00:00"/>
      </sharedItems>
    </cacheField>
    <cacheField name="[Fact_Sales].[Order_Date_Raw (Month)].[Order_Date_Raw (Month)]" caption="Order_Date_Raw (Month)" numFmtId="0" hierarchy="20" level="1">
      <sharedItems count="3">
        <s v="Jul"/>
        <s v="Aug"/>
        <s v="Sep"/>
      </sharedItems>
    </cacheField>
    <cacheField name="[Fact_Sales].[Order_Date_Raw (Quarter)].[Order_Date_Raw (Quarter)]" caption="Order_Date_Raw (Quarter)" numFmtId="0" hierarchy="19" level="1">
      <sharedItems count="1">
        <s v="Qtr3"/>
      </sharedItems>
    </cacheField>
    <cacheField name="[Fact_Sales].[Order_Date_Raw (Year)].[Order_Date_Raw (Year)]" caption="Order_Date_Raw (Year)" numFmtId="0" hierarchy="18" level="1">
      <sharedItems count="2">
        <s v="2025"/>
        <s v="2026"/>
      </sharedItems>
    </cacheField>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fieldsUsage count="2">
        <fieldUsage x="-1"/>
        <fieldUsage x="1"/>
      </fieldsUsage>
    </cacheHierarchy>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5"/>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2" memberValueDatatype="130" unbalanced="0">
      <fieldsUsage count="2">
        <fieldUsage x="-1"/>
        <fieldUsage x="4"/>
      </fieldsUsage>
    </cacheHierarchy>
    <cacheHierarchy uniqueName="[Fact_Sales].[Order_Date_Raw (Quarter)]" caption="Order_Date_Raw (Quarter)" attribute="1" defaultMemberUniqueName="[Fact_Sales].[Order_Date_Raw (Quarter)].[All]" allUniqueName="[Fact_Sales].[Order_Date_Raw (Quarter)].[All]" dimensionUniqueName="[Fact_Sales]" displayFolder="" count="2" memberValueDatatype="130" unbalanced="0">
      <fieldsUsage count="2">
        <fieldUsage x="-1"/>
        <fieldUsage x="3"/>
      </fieldsUsage>
    </cacheHierarchy>
    <cacheHierarchy uniqueName="[Fact_Sales].[Order_Date_Raw (Month)]" caption="Order_Date_Raw (Month)" attribute="1" defaultMemberUniqueName="[Fact_Sales].[Order_Date_Raw (Month)].[All]" allUniqueName="[Fact_Sales].[Order_Date_Raw (Month)].[All]" dimensionUniqueName="[Fact_Sales]" displayFolder="" count="2" memberValueDatatype="130" unbalanced="0">
      <fieldsUsage count="2">
        <fieldUsage x="-1"/>
        <fieldUsage x="2"/>
      </fieldsUsage>
    </cacheHierarchy>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oneField="1">
      <fieldsUsage count="1">
        <fieldUsage x="0"/>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91203702" backgroundQuery="1" createdVersion="8" refreshedVersion="8" minRefreshableVersion="3" recordCount="0" supportSubquery="1" supportAdvancedDrill="1" xr:uid="{0429E997-E0CB-421D-8197-0F8ABADDD54A}">
  <cacheSource type="external" connectionId="4"/>
  <cacheFields count="9">
    <cacheField name="[Measures].[Total_Revenue]" caption="Total_Revenue" numFmtId="0" hierarchy="27" level="32767"/>
    <cacheField name="[Measures].[Gross_Margin_Pct]" caption="Gross_Margin_Pct" numFmtId="0" hierarchy="24" level="32767"/>
    <cacheField name="[Measures].[Total_Profit]" caption="Total_Profit" numFmtId="0" hierarchy="23" level="32767"/>
    <cacheField name="[Measures].[Total_Cost]" caption="Total_Cost" numFmtId="0" hierarchy="22" level="32767"/>
    <cacheField name="[Measures].[Average_Order_Value (AOV)]" caption="Average_Order_Value (AOV)" numFmtId="0" hierarchy="25" level="32767"/>
    <cacheField name="[Measures].[Total_Units]" caption="Total_Units" numFmtId="0" hierarchy="26" level="32767"/>
    <cacheField name="[Measures].[_Total_Revenue Status]" caption="_Total_Revenue Status" numFmtId="0" hierarchy="33" level="32767"/>
    <cacheField name="[Measures].[_Total_Revenue Goal]" caption="_Total_Revenue Goal" numFmtId="0" hierarchy="32"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8"/>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oneField="1">
      <fieldsUsage count="1">
        <fieldUsage x="3"/>
      </fieldsUsage>
    </cacheHierarchy>
    <cacheHierarchy uniqueName="[Measures].[Total_Profit]" caption="Total_Profit" measure="1" displayFolder="" measureGroup="Fact_Sales" count="0" oneField="1">
      <fieldsUsage count="1">
        <fieldUsage x="2"/>
      </fieldsUsage>
    </cacheHierarchy>
    <cacheHierarchy uniqueName="[Measures].[Gross_Margin_Pct]" caption="Gross_Margin_Pct" measure="1" displayFolder="" measureGroup="Fact_Sales" count="0" oneField="1">
      <fieldsUsage count="1">
        <fieldUsage x="1"/>
      </fieldsUsage>
    </cacheHierarchy>
    <cacheHierarchy uniqueName="[Measures].[Average_Order_Value (AOV)]" caption="Average_Order_Value (AOV)" measure="1" displayFolder="" measureGroup="Fact_Sales" count="0" oneField="1">
      <fieldsUsage count="1">
        <fieldUsage x="4"/>
      </fieldsUsage>
    </cacheHierarchy>
    <cacheHierarchy uniqueName="[Measures].[Total_Units]" caption="Total_Units" measure="1" displayFolder="" measureGroup="Fact_Sales" count="0" oneField="1">
      <fieldsUsage count="1">
        <fieldUsage x="5"/>
      </fieldsUsage>
    </cacheHierarchy>
    <cacheHierarchy uniqueName="[Measures].[Total_Revenue]" caption="Total_Revenue" measure="1" displayFolder="" measureGroup="Fact_Sales" count="0" oneField="1">
      <fieldsUsage count="1">
        <fieldUsage x="0"/>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oneField="1" hidden="1">
      <fieldsUsage count="1">
        <fieldUsage x="7"/>
      </fieldsUsage>
    </cacheHierarchy>
    <cacheHierarchy uniqueName="[Measures].[_Total_Revenue Status]" caption="_Total_Revenue Status" measure="1" iconSet="6" displayFolder="" measureGroup="Fact_Sales" count="0" oneField="1" hidden="1">
      <fieldsUsage count="1">
        <fieldUsage x="6"/>
      </fieldsUsage>
    </cacheHierarchy>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57891666664" backgroundQuery="1" createdVersion="8" refreshedVersion="8" minRefreshableVersion="3" recordCount="0" supportSubquery="1" supportAdvancedDrill="1" xr:uid="{CE123231-C8F3-4967-91EF-0DE5053CF8AA}">
  <cacheSource type="external" connectionId="4"/>
  <cacheFields count="3">
    <cacheField name="[Dim_Products].[Category].[Category]" caption="Category" numFmtId="0" hierarchy="2" level="1">
      <sharedItems count="2">
        <s v="Services"/>
        <s v="Software"/>
      </sharedItems>
    </cacheField>
    <cacheField name="[Measures].[Total_Profit]" caption="Total_Profit" numFmtId="0" hierarchy="23" level="32767"/>
    <cacheField name="[Fact_Sales].[Sales_Channel].[Sales_Channel]" caption="Sales_Channel" numFmtId="0" hierarchy="13" level="1">
      <sharedItems containsSemiMixedTypes="0" containsNonDate="0" containsString="0"/>
    </cacheField>
  </cacheFields>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2"/>
      </fieldsUsage>
    </cacheHierarchy>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oneField="1">
      <fieldsUsage count="1">
        <fieldUsage x="1"/>
      </fieldsUsage>
    </cacheHierarchy>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dimensions count="4">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3">
    <measureGroup name="Dim_Products" caption="Dim_Products"/>
    <measureGroup name="Dim_Stores" caption="Dim_Store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4095451389" backgroundQuery="1" createdVersion="3" refreshedVersion="8" minRefreshableVersion="3" recordCount="0" supportSubquery="1" supportAdvancedDrill="1" xr:uid="{8116E20C-BD7C-4179-94B3-ED9BF4C692C3}">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0" memberValueDatatype="7" unbalanced="0"/>
    <cacheHierarchy uniqueName="[Fact_Sales].[Sales_Channel]" caption="Sales_Channel" attribute="1" defaultMemberUniqueName="[Fact_Sales].[Sales_Channel].[All]" allUniqueName="[Fact_Sales].[Sales_Channel].[All]" dimensionUniqueName="[Fact_Sales]" displayFolder="" count="2" memberValueDatatype="130" unbalanced="0"/>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extLst>
    <ext xmlns:x14="http://schemas.microsoft.com/office/spreadsheetml/2009/9/main" uri="{725AE2AE-9491-48be-B2B4-4EB974FC3084}">
      <x14:pivotCacheDefinition slicerData="1" pivotCacheId="66142576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10.04168263889" backgroundQuery="1" createdVersion="3" refreshedVersion="8" minRefreshableVersion="3" recordCount="0" supportSubquery="1" supportAdvancedDrill="1" xr:uid="{1F37A6E8-E7F4-40FE-9B57-A5EA1B8059C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_Cost_USD]" caption="Unit_Cost_USD" attribute="1" defaultMemberUniqueName="[Dim_Products].[Unit_Cost_USD].[All]" allUniqueName="[Dim_Products].[Unit_Cost_USD].[All]" dimensionUniqueName="[Dim_Products]" displayFolder="" count="0" memberValueDatatype="20" unbalanced="0"/>
    <cacheHierarchy uniqueName="[Dim_Stores].[Store_Code]" caption="Store_Code" attribute="1" defaultMemberUniqueName="[Dim_Stores].[Store_Code].[All]" allUniqueName="[Dim_Stores].[Store_Code].[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Store_Manager]" caption="Store_Manager" attribute="1" defaultMemberUniqueName="[Dim_Stores].[Store_Manager].[All]" allUniqueName="[Dim_Stores].[Store_Manager].[All]" dimensionUniqueName="[Dim_Stores]" displayFolder="" count="0" memberValueDatatype="130" unbalanced="0"/>
    <cacheHierarchy uniqueName="[Dim_Stores].[Target_Annual_Sales]" caption="Target_Annual_Sales" attribute="1" defaultMemberUniqueName="[Dim_Stores].[Target_Annual_Sales].[All]" allUniqueName="[Dim_Stores].[Target_Annual_Sales].[All]" dimensionUniqueName="[Dim_Stor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tore_Code]" caption="Store_Code" attribute="1" defaultMemberUniqueName="[Fact_Sales].[Store_Code].[All]" allUniqueName="[Fact_Sales].[Store_Code].[All]" dimensionUniqueName="[Fact_Sales]" displayFolder="" count="0" memberValueDatatype="130" unbalanced="0"/>
    <cacheHierarchy uniqueName="[Fact_Sales].[Product_Code]" caption="Product_Code" attribute="1" defaultMemberUniqueName="[Fact_Sales].[Product_Code].[All]" allUniqueName="[Fact_Sales].[Product_Code].[All]" dimensionUniqueName="[Fact_Sales]" displayFolder="" count="0" memberValueDatatype="130" unbalanced="0"/>
    <cacheHierarchy uniqueName="[Fact_Sales].[Order_Date_Raw]" caption="Order_Date_Raw" attribute="1" time="1" defaultMemberUniqueName="[Fact_Sales].[Order_Date_Raw].[All]" allUniqueName="[Fact_Sales].[Order_Date_Raw].[All]" dimensionUniqueName="[Fact_Sales]" displayFolder="" count="2" memberValueDatatype="7"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Platform_Type]" caption="Platform_Type" attribute="1" defaultMemberUniqueName="[Fact_Sales].[Platform_Type].[All]" allUniqueName="[Fact_Sales].[Platform_Type].[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Gross_Revenue_USD]" caption="Gross_Revenue_USD" attribute="1" defaultMemberUniqueName="[Fact_Sales].[Gross_Revenue_USD].[All]" allUniqueName="[Fact_Sales].[Gross_Revenue_USD].[All]" dimensionUniqueName="[Fact_Sales]" displayFolder="" count="0" memberValueDatatype="5" unbalanced="0"/>
    <cacheHierarchy uniqueName="[Fact_Sales].[Discount_Code]" caption="Discount_Code" attribute="1" defaultMemberUniqueName="[Fact_Sales].[Discount_Code].[All]" allUniqueName="[Fact_Sales].[Discount_Code].[All]" dimensionUniqueName="[Fact_Sales]" displayFolder="" count="0" memberValueDatatype="130" unbalanced="0"/>
    <cacheHierarchy uniqueName="[Fact_Sales].[Order_Date_Raw (Year)]" caption="Order_Date_Raw (Year)" attribute="1" defaultMemberUniqueName="[Fact_Sales].[Order_Date_Raw (Year)].[All]" allUniqueName="[Fact_Sales].[Order_Date_Raw (Year)].[All]" dimensionUniqueName="[Fact_Sales]" displayFolder="" count="0" memberValueDatatype="130" unbalanced="0"/>
    <cacheHierarchy uniqueName="[Fact_Sales].[Order_Date_Raw (Quarter)]" caption="Order_Date_Raw (Quarter)" attribute="1" defaultMemberUniqueName="[Fact_Sales].[Order_Date_Raw (Quarter)].[All]" allUniqueName="[Fact_Sales].[Order_Date_Raw (Quarter)].[All]" dimensionUniqueName="[Fact_Sales]" displayFolder="" count="0" memberValueDatatype="130" unbalanced="0"/>
    <cacheHierarchy uniqueName="[Fact_Sales].[Order_Date_Raw (Month)]" caption="Order_Date_Raw (Month)" attribute="1" defaultMemberUniqueName="[Fact_Sales].[Order_Date_Raw (Month)].[All]" allUniqueName="[Fact_Sales].[Order_Date_Raw (Month)].[All]" dimensionUniqueName="[Fact_Sales]" displayFolder="" count="0" memberValueDatatype="130" unbalanced="0"/>
    <cacheHierarchy uniqueName="[Fact_Sales].[Order_Date_Raw (Month Index)]" caption="Order_Date_Raw (Month Index)" attribute="1" defaultMemberUniqueName="[Fact_Sales].[Order_Date_Raw (Month Index)].[All]" allUniqueName="[Fact_Sales].[Order_Date_Raw (Month Index)].[All]" dimensionUniqueName="[Fact_Sales]" displayFolder="" count="0" memberValueDatatype="20" unbalanced="0" hidden="1"/>
    <cacheHierarchy uniqueName="[Measures].[Total_Cost]" caption="Total_Cost" measure="1" displayFolder="" measureGroup="Fact_Sales" count="0"/>
    <cacheHierarchy uniqueName="[Measures].[Total_Profit]" caption="Total_Profit" measure="1" displayFolder="" measureGroup="Fact_Sales" count="0"/>
    <cacheHierarchy uniqueName="[Measures].[Gross_Margin_Pct]" caption="Gross_Margin_Pct" measure="1" displayFolder="" measureGroup="Fact_Sales" count="0"/>
    <cacheHierarchy uniqueName="[Measures].[Average_Order_Value (AOV)]" caption="Average_Order_Value (AOV)" measure="1" displayFolder="" measureGroup="Fact_Sales" count="0"/>
    <cacheHierarchy uniqueName="[Measures].[Total_Units]" caption="Total_Units" measure="1" displayFolder="" measureGroup="Fact_Sales" count="0"/>
    <cacheHierarchy uniqueName="[Measures].[Total_Revenue]" caption="Total_Revenue" measure="1" displayFolder="" measureGroup="Fact_Sal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_Total_Revenue Goal]" caption="_Total_Revenue Goal" measure="1" displayFolder="" measureGroup="Fact_Sales" count="0" hidden="1"/>
    <cacheHierarchy uniqueName="[Measures].[_Total_Revenue Status]" caption="_Total_Revenue Status" measure="1" iconSet="6" displayFolder="" measureGroup="Fact_Sales" count="0" hidden="1"/>
  </cacheHierarchies>
  <kpis count="1">
    <kpi uniqueName="Total_Revenue" caption="Total_Revenue" displayFolder="" measureGroup="Fact_Sales" parent="" value="[Measures].[Total_Revenue]" goal="[Measures].[_Total_Revenue Goal]" status="[Measures].[_Total_Revenue Status]" trend="" weight=""/>
  </kpis>
  <extLst>
    <ext xmlns:x14="http://schemas.microsoft.com/office/spreadsheetml/2009/9/main" uri="{725AE2AE-9491-48be-B2B4-4EB974FC3084}">
      <x14:pivotCacheDefinition pivotCacheId="382904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BCBFF-6830-4487-866F-1819C08F0377}" name="PivotTable9" cacheId="606" applyNumberFormats="0" applyBorderFormats="0" applyFontFormats="0" applyPatternFormats="0" applyAlignmentFormats="0" applyWidthHeightFormats="1" dataCaption="Values" tag="00d3db29-fb17-4e4f-8562-e4607f496fe5" updatedVersion="8" minRefreshableVersion="5" useAutoFormatting="1" itemPrintTitles="1" createdVersion="8" indent="0" outline="1" outlineData="1" multipleFieldFilters="0" chartFormat="14">
  <location ref="I5:L10" firstHeaderRow="1" firstDataRow="5" firstDataCol="1"/>
  <pivotFields count="6">
    <pivotField dataField="1" subtotalTop="0" showAll="0" defaultSubtotal="0"/>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items count="3">
        <item x="0" e="0"/>
        <item x="1" e="0"/>
        <item x="2" e="0"/>
      </items>
    </pivotField>
    <pivotField axis="axisCol" allDrilled="1" subtotalTop="0" showAll="0" dataSourceSort="1" defaultSubtotal="0">
      <items count="1">
        <item x="0" e="0"/>
      </items>
    </pivotField>
    <pivotField axis="axisCol" allDrilled="1" subtotalTop="0" showAll="0" dataSourceSort="1" defaultSubtotal="0">
      <items count="2">
        <item x="0" e="0"/>
        <item x="1" e="0"/>
      </items>
    </pivotField>
    <pivotField allDrilled="1" subtotalTop="0" showAll="0" dataSourceSort="1" defaultSubtotal="0" defaultAttributeDrillState="1"/>
  </pivotFields>
  <rowItems count="1">
    <i/>
  </rowItems>
  <colFields count="4">
    <field x="4"/>
    <field x="3"/>
    <field x="2"/>
    <field x="1"/>
  </colFields>
  <colItems count="3">
    <i>
      <x/>
    </i>
    <i>
      <x v="1"/>
    </i>
    <i t="grand">
      <x/>
    </i>
  </colItems>
  <dataFields count="1">
    <dataField name="Total_Revenue" fld="0" subtotal="count" baseField="0" baseItem="0"/>
  </dataFields>
  <chartFormats count="2">
    <chartFormat chart="13" format="0" series="1">
      <pivotArea type="data" outline="0" fieldPosition="0">
        <references count="2">
          <reference field="4294967294" count="1" selected="0">
            <x v="0"/>
          </reference>
          <reference field="4" count="1" selected="0">
            <x v="0"/>
          </reference>
        </references>
      </pivotArea>
    </chartFormat>
    <chartFormat chart="13" format="1" series="1">
      <pivotArea type="data" outline="0" fieldPosition="0">
        <references count="2">
          <reference field="4294967294" count="1" selected="0">
            <x v="0"/>
          </reference>
          <reference field="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4">
    <colHierarchyUsage hierarchyUsage="18"/>
    <colHierarchyUsage hierarchyUsage="19"/>
    <colHierarchyUsage hierarchyUsage="20"/>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87DFC-13B6-491D-8D9B-92956CAE4EC2}" name="PivotTable8" cacheId="588" applyNumberFormats="0" applyBorderFormats="0" applyFontFormats="0" applyPatternFormats="0" applyAlignmentFormats="0" applyWidthHeightFormats="1" dataCaption="Values" tag="feb3d46a-d94d-4527-96d5-143a848fe20f" updatedVersion="8" minRefreshableVersion="5" useAutoFormatting="1" subtotalHiddenItems="1" itemPrintTitles="1" createdVersion="8" indent="0" outline="1" outlineData="1" multipleFieldFilters="0" chartFormat="3">
  <location ref="E5:F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Total_Revenue"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C207E9-1C31-43E5-B17B-98D2506C9E9F}" name="PivotTable6" cacheId="591" applyNumberFormats="0" applyBorderFormats="0" applyFontFormats="0" applyPatternFormats="0" applyAlignmentFormats="0" applyWidthHeightFormats="1" dataCaption="Values" tag="477bee24-0408-4f53-aadd-28dd66bcb0de" updatedVersion="8" minRefreshableVersion="5" useAutoFormatting="1" subtotalHiddenItems="1" itemPrintTitles="1" createdVersion="8" indent="0" outline="1" outlineData="1" multipleFieldFilters="0" chartFormat="1">
  <location ref="A5:B1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_Revenue"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67EE2-44B9-49EE-8629-32ADA84B32DF}" name="PivotTable5" cacheId="594" applyNumberFormats="0" applyBorderFormats="0" applyFontFormats="0" applyPatternFormats="0" applyAlignmentFormats="0" applyWidthHeightFormats="1" dataCaption="Values" tag="27ddfe05-dbee-4f49-bb36-c9526083e24e" updatedVersion="8" minRefreshableVersion="5" useAutoFormatting="1"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EAB0C-907E-4BA1-8EDD-FD1C5EFAE8D0}" name="PivotTable4" cacheId="597" applyNumberFormats="0" applyBorderFormats="0" applyFontFormats="0" applyPatternFormats="0" applyAlignmentFormats="0" applyWidthHeightFormats="1" dataCaption="Values" tag="deef7161-732b-424f-86d8-a9db44bb6458" updatedVersion="8" minRefreshableVersion="5"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2">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A01358-EE99-455F-BDD4-0B9803A91364}" name="PivotTable3" cacheId="600" applyNumberFormats="0" applyBorderFormats="0" applyFontFormats="0" applyPatternFormats="0" applyAlignmentFormats="0" applyWidthHeightFormats="1" dataCaption="Values" tag="81832aa0-b6f0-466a-a639-fd8125d0d816" updatedVersion="8" minRefreshableVersion="5"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5C52BD-8B17-4CCA-96EB-C874559C5B82}" name="PivotTable2" cacheId="603" applyNumberFormats="0" applyBorderFormats="0" applyFontFormats="0" applyPatternFormats="0" applyAlignmentFormats="0" applyWidthHeightFormats="1" dataCaption="Values" tag="07343a87-6711-410c-9ea9-74ab55209364" updatedVersion="8" minRefreshableVersion="5" useAutoFormatting="1" subtotalHiddenItems="1" itemPrintTitles="1" createdVersion="8" indent="0" outline="1" outlineData="1" multipleFieldFilters="0">
  <location ref="A2:B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_Revenue" fld="0" subtotal="count" baseField="0" baseItem="0"/>
    <dataField name="Total_Revenue Status" fld="1"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B34C0E-50FB-4833-88D5-64674CB03CD5}" name="PivotTable13" cacheId="612" applyNumberFormats="0" applyBorderFormats="0" applyFontFormats="0" applyPatternFormats="0" applyAlignmentFormats="0" applyWidthHeightFormats="1" dataCaption="Values" tag="d0ee85ec-fae3-4193-81ab-973ac01235f0" updatedVersion="8" minRefreshableVersion="5" useAutoFormatting="1" itemPrintTitles="1" createdVersion="8" indent="0" outline="1" outlineData="1" multipleFieldFilters="0" chartFormat="22">
  <location ref="D5:E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560F19-6BB7-407B-908A-397F05E78E99}" name="PivotTable12" cacheId="585" applyNumberFormats="0" applyBorderFormats="0" applyFontFormats="0" applyPatternFormats="0" applyAlignmentFormats="0" applyWidthHeightFormats="1" dataCaption="Values" tag="a3134390-a773-4c0f-8976-23ce0910938b" updatedVersion="8" minRefreshableVersion="5" useAutoFormatting="1" subtotalHiddenItems="1" itemPrintTitles="1" createdVersion="8" indent="0" outline="1" outlineData="1" multipleFieldFilters="0" chartFormat="23">
  <location ref="A5:B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_Revenue" fld="1" subtotal="count" baseField="0" baseItem="0"/>
  </dataFields>
  <chartFormats count="1">
    <chartFormat chart="7"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30409E-ED08-4DA0-A8DA-7B1C0CABD22B}" name="PivotTable11" cacheId="609" applyNumberFormats="0" applyBorderFormats="0" applyFontFormats="0" applyPatternFormats="0" applyAlignmentFormats="0" applyWidthHeightFormats="1" dataCaption="Values" tag="1f14ad7f-f5d8-4a48-8af8-506d470bf8f8" updatedVersion="8" minRefreshableVersion="5" useAutoFormatting="1" itemPrintTitles="1" createdVersion="8"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Total_Revenue" fld="0" subtotal="count" baseField="0" baseItem="0"/>
    <dataField fld="1" subtotal="count" baseField="0" baseItem="0" numFmtId="9"/>
    <dataField fld="2" subtotal="count" baseField="0" baseItem="0"/>
    <dataField fld="3" subtotal="count" baseField="0" baseItem="0"/>
    <dataField fld="4" subtotal="count" baseField="0" baseItem="0"/>
    <dataField fld="5" subtotal="count" baseField="0" baseItem="0"/>
    <dataField name="Total_Revenue Status" fld="6" subtotal="count" baseField="0" baseItem="0"/>
    <dataField name="Total_Revenue Goal" fld="7" subtotal="count" baseField="0" baseItem="0"/>
  </dataFields>
  <formats count="1">
    <format dxfId="11">
      <pivotArea outline="0" collapsedLevelsAreSubtotals="1" fieldPosition="0">
        <references count="1">
          <reference field="4294967294" count="1" selected="0">
            <x v="1"/>
          </reference>
        </references>
      </pivotArea>
    </format>
  </formats>
  <conditionalFormats count="1">
    <conditionalFormat scope="data" priority="1">
      <pivotAreas count="1">
        <pivotArea outline="0" fieldPosition="0">
          <references count="1">
            <reference field="4294967294" count="1" selected="0">
              <x v="6"/>
            </reference>
          </references>
        </pivotArea>
      </pivotAreas>
    </conditionalFormat>
  </conditional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07F6DA6D-8BEC-4076-A5E0-11047992CA70}" sourceName="[Fact_Sales].[Sales_Channel]">
  <pivotTables>
    <pivotTable tabId="5" name="PivotTable12"/>
    <pivotTable tabId="2" name="PivotTable8"/>
    <pivotTable tabId="2" name="PivotTable6"/>
    <pivotTable tabId="2" name="PivotTable5"/>
    <pivotTable tabId="2" name="PivotTable4"/>
    <pivotTable tabId="2" name="PivotTable3"/>
    <pivotTable tabId="2" name="PivotTable2"/>
    <pivotTable tabId="2" name="PivotTable9"/>
    <pivotTable tabId="5" name="PivotTable11"/>
    <pivotTable tabId="5" name="PivotTable13"/>
  </pivotTables>
  <data>
    <olap pivotCacheId="661425761">
      <levels count="2">
        <level uniqueName="[Fact_Sales].[Sales_Channel].[(All)]" sourceCaption="(All)" count="0"/>
        <level uniqueName="[Fact_Sales].[Sales_Channel].[Sales_Channel]" sourceCaption="Sales_Channel" count="2">
          <ranges>
            <range startItem="0">
              <i n="[Fact_Sales].[Sales_Channel].&amp;[ONLINE]" c="ONLINE"/>
              <i n="[Fact_Sales].[Sales_Channel].&amp;[RETAIL]" c="RETAIL"/>
            </range>
          </ranges>
        </level>
      </levels>
      <selections count="1">
        <selection n="[Fact_Sales].[Sales_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87076D1-0B5B-40D8-B63E-A547CD2F1753}" sourceName="[Dim_Stores].[Region]">
  <pivotTables>
    <pivotTable tabId="5" name="PivotTable12"/>
    <pivotTable tabId="2" name="PivotTable9"/>
    <pivotTable tabId="2" name="PivotTable8"/>
    <pivotTable tabId="2" name="PivotTable6"/>
    <pivotTable tabId="2" name="PivotTable5"/>
    <pivotTable tabId="2" name="PivotTable4"/>
    <pivotTable tabId="2" name="PivotTable3"/>
    <pivotTable tabId="2" name="PivotTable2"/>
    <pivotTable tabId="5" name="PivotTable11"/>
    <pivotTable tabId="5" name="PivotTable13"/>
  </pivotTables>
  <data>
    <olap pivotCacheId="661425761">
      <levels count="2">
        <level uniqueName="[Dim_Stores].[Region].[(All)]" sourceCaption="(All)" count="0"/>
        <level uniqueName="[Dim_Stores].[Region].[Region]" sourceCaption="Region" count="5">
          <ranges>
            <range startItem="0">
              <i n="[Dim_Stores].[Region].&amp;[Central]" c="Central"/>
              <i n="[Dim_Stores].[Region].&amp;[East]" c="East"/>
              <i n="[Dim_Stores].[Region].&amp;[North]" c="North"/>
              <i n="[Dim_Stores].[Region].&amp;[South]" c="South"/>
              <i n="[Dim_Stores].[Region].&amp;[West]" c="West"/>
            </range>
          </ranges>
        </level>
      </levels>
      <selections count="1">
        <selection n="[Dim_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4101E9E1-D05F-426F-BEF8-722F984AFDB0}" cache="Slicer_Sales_Channel1" caption="Sales_Channel" level="1" rowHeight="241300"/>
  <slicer name="Region" xr10:uid="{7003AB36-2DD6-48B0-A379-00844037FA75}" cache="Slicer_Region1"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CCFD40D7-7889-4548-AC45-B327C4AB5E10}" cache="Slicer_Sales_Channel1" caption="Sales_Channel" columnCount="2" level="1" rowHeight="241300"/>
  <slicer name="Region 1" xr10:uid="{736F456B-A9C7-46D6-89BD-73F9E3EF18C8}" cache="Slicer_Region1" caption="Region" columnCount="3"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D63B32-65CA-49BE-AEBE-9A8D25626875}" name="Table4" displayName="Table4" ref="A11:F15" totalsRowShown="0" headerRowDxfId="1" dataDxfId="0" headerRowBorderDxfId="9" tableBorderDxfId="10" totalsRowBorderDxfId="8">
  <autoFilter ref="A11:F15" xr:uid="{05D63B32-65CA-49BE-AEBE-9A8D25626875}"/>
  <tableColumns count="6">
    <tableColumn id="1" xr3:uid="{03366F3D-D347-4FAC-9ADD-622AC71AC997}" name="Financial Metric" dataDxfId="7"/>
    <tableColumn id="2" xr3:uid="{22487F57-8AE9-4F87-B9D5-865408414553}" name="Q3 2025 Baseline" dataDxfId="6"/>
    <tableColumn id="3" xr3:uid="{E4E32088-E6AC-4C5C-8528-6180ED98BB4B}" name="Q3 2026 Actual" dataDxfId="5"/>
    <tableColumn id="4" xr3:uid="{D2A50F5A-E613-424F-8EB6-FD9F146C25EF}" name="YoY Variance" dataDxfId="4"/>
    <tableColumn id="5" xr3:uid="{AF1D94CC-DAFC-4CB0-B778-CDC8A240D84B}" name="Target Benchmark" dataDxfId="3"/>
    <tableColumn id="6" xr3:uid="{32591F88-B311-4C5A-ABA2-B703195AB57A}" name="Performance Status" dataDxfId="2"/>
  </tableColumns>
  <tableStyleInfo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_Raw1" xr10:uid="{E973D31C-DD85-4B70-817C-0C20C61445BC}" sourceName="[Fact_Sales].[Order_Date_Raw]">
  <pivotTables>
    <pivotTable tabId="5" name="PivotTable12"/>
    <pivotTable tabId="2" name="PivotTable9"/>
    <pivotTable tabId="2" name="PivotTable8"/>
    <pivotTable tabId="2" name="PivotTable6"/>
    <pivotTable tabId="2" name="PivotTable5"/>
    <pivotTable tabId="2" name="PivotTable4"/>
    <pivotTable tabId="2" name="PivotTable3"/>
    <pivotTable tabId="2" name="PivotTable2"/>
    <pivotTable tabId="5" name="PivotTable11"/>
    <pivotTable tabId="5" name="PivotTable13"/>
  </pivotTables>
  <state minimalRefreshVersion="6" lastRefreshVersion="6" pivotCacheId="3829049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_Raw" xr10:uid="{86F8F56F-1822-46B8-8039-D82C54878AA2}" cache="Timeline_Order_Date_Raw1" caption="Order_Date_Raw" level="2" selectionLevel="2" scrollPosition="2026-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_Raw 1" xr10:uid="{03FBFEB1-BE2A-49E9-8CEB-47F22829FA23}" cache="Timeline_Order_Date_Raw1" caption="Order_Date_Raw" showHorizontalScrollbar="0" level="2" selectionLevel="2" scrollPosition="2025-10-31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0A7F-242F-4621-97A2-588582C0B5CD}">
  <dimension ref="A2:L11"/>
  <sheetViews>
    <sheetView workbookViewId="0">
      <selection activeCell="G3" sqref="G3"/>
    </sheetView>
  </sheetViews>
  <sheetFormatPr defaultRowHeight="14.5"/>
  <cols>
    <col min="1" max="1" width="13.36328125" bestFit="1" customWidth="1"/>
    <col min="2" max="2" width="19.1796875" bestFit="1" customWidth="1"/>
    <col min="3" max="3" width="10.81640625" customWidth="1"/>
    <col min="4" max="4" width="17.6328125" customWidth="1"/>
    <col min="5" max="5" width="16.1796875" bestFit="1" customWidth="1"/>
    <col min="6" max="6" width="13.36328125" customWidth="1"/>
    <col min="7" max="7" width="25" customWidth="1"/>
    <col min="8" max="8" width="20.6328125" customWidth="1"/>
    <col min="9" max="9" width="13.36328125" customWidth="1"/>
    <col min="10" max="10" width="15.36328125" customWidth="1"/>
    <col min="11" max="11" width="6.7265625" customWidth="1"/>
    <col min="12" max="12" width="10.7265625" customWidth="1"/>
    <col min="13" max="13" width="6.7265625" customWidth="1"/>
    <col min="14" max="14" width="6.08984375" customWidth="1"/>
    <col min="15" max="15" width="5.81640625" customWidth="1"/>
    <col min="16" max="16" width="10.7265625" customWidth="1"/>
    <col min="17" max="25" width="10.08984375" customWidth="1"/>
    <col min="26" max="26" width="10.7265625" customWidth="1"/>
  </cols>
  <sheetData>
    <row r="2" spans="1:12">
      <c r="A2" t="s">
        <v>3</v>
      </c>
      <c r="B2" t="s">
        <v>16</v>
      </c>
      <c r="C2" t="s">
        <v>4</v>
      </c>
      <c r="E2" t="s">
        <v>5</v>
      </c>
      <c r="G2" t="s">
        <v>6</v>
      </c>
    </row>
    <row r="3" spans="1:12">
      <c r="A3" s="2">
        <v>32550</v>
      </c>
      <c r="B3" s="1">
        <v>1</v>
      </c>
      <c r="C3" s="1">
        <v>24850</v>
      </c>
      <c r="E3" s="5">
        <v>0.76344086021505375</v>
      </c>
      <c r="G3" s="1">
        <v>2034.375</v>
      </c>
    </row>
    <row r="5" spans="1:12">
      <c r="A5" s="3" t="s">
        <v>7</v>
      </c>
      <c r="B5" t="s">
        <v>3</v>
      </c>
      <c r="E5" s="3" t="s">
        <v>7</v>
      </c>
      <c r="F5" t="s">
        <v>3</v>
      </c>
      <c r="J5" s="3" t="s">
        <v>17</v>
      </c>
    </row>
    <row r="6" spans="1:12">
      <c r="A6" s="4" t="s">
        <v>8</v>
      </c>
      <c r="B6" s="2">
        <v>1700</v>
      </c>
      <c r="E6" s="4" t="s">
        <v>1</v>
      </c>
      <c r="F6" s="2">
        <v>18500</v>
      </c>
      <c r="J6" t="s">
        <v>18</v>
      </c>
      <c r="K6" t="s">
        <v>19</v>
      </c>
      <c r="L6" t="s">
        <v>13</v>
      </c>
    </row>
    <row r="7" spans="1:12">
      <c r="A7" s="4" t="s">
        <v>9</v>
      </c>
      <c r="B7" s="2">
        <v>6900</v>
      </c>
      <c r="E7" s="4" t="s">
        <v>2</v>
      </c>
      <c r="F7" s="2">
        <v>14050</v>
      </c>
    </row>
    <row r="8" spans="1:12">
      <c r="A8" s="4" t="s">
        <v>10</v>
      </c>
      <c r="B8" s="2">
        <v>9200</v>
      </c>
      <c r="E8" s="4" t="s">
        <v>13</v>
      </c>
      <c r="F8" s="2">
        <v>32550</v>
      </c>
    </row>
    <row r="9" spans="1:12">
      <c r="A9" s="4" t="s">
        <v>11</v>
      </c>
      <c r="B9" s="2">
        <v>7150</v>
      </c>
    </row>
    <row r="10" spans="1:12">
      <c r="A10" s="4" t="s">
        <v>12</v>
      </c>
      <c r="B10" s="2">
        <v>7600</v>
      </c>
      <c r="I10" t="s">
        <v>3</v>
      </c>
      <c r="J10" s="2">
        <v>14200</v>
      </c>
      <c r="K10" s="2">
        <v>18350</v>
      </c>
      <c r="L10" s="2">
        <v>32550</v>
      </c>
    </row>
    <row r="11" spans="1:12">
      <c r="A11" s="4" t="s">
        <v>13</v>
      </c>
      <c r="B11" s="2">
        <v>32550</v>
      </c>
    </row>
  </sheetData>
  <phoneticPr fontId="2" type="noConversion"/>
  <conditionalFormatting pivot="1" sqref="B3">
    <cfRule type="iconSet" priority="1">
      <iconSet showValue="0">
        <cfvo type="num" val="-1"/>
        <cfvo type="num" val="-0.5"/>
        <cfvo type="num" val="0.5"/>
      </iconSet>
    </cfRule>
  </conditionalFormatting>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11C8-0283-4ADC-BA33-053A50101B6E}">
  <dimension ref="A1:W59"/>
  <sheetViews>
    <sheetView showGridLines="0" tabSelected="1" workbookViewId="0">
      <selection activeCell="L12" sqref="L12"/>
    </sheetView>
  </sheetViews>
  <sheetFormatPr defaultRowHeight="14.5"/>
  <cols>
    <col min="1" max="1" width="17.81640625" style="44" customWidth="1"/>
    <col min="2" max="2" width="19.1796875" style="44" customWidth="1"/>
    <col min="3" max="3" width="16.90625" style="44" customWidth="1"/>
    <col min="4" max="4" width="15.81640625" style="44" customWidth="1"/>
    <col min="5" max="5" width="20.36328125" style="44" customWidth="1"/>
    <col min="6" max="6" width="21.7265625" style="44" customWidth="1"/>
    <col min="7" max="16384" width="8.7265625" style="44"/>
  </cols>
  <sheetData>
    <row r="1" spans="1:6" s="44" customFormat="1" ht="30">
      <c r="A1" s="43" t="s">
        <v>33</v>
      </c>
    </row>
    <row r="3" spans="1:6" s="44" customFormat="1">
      <c r="A3" s="45" t="s">
        <v>34</v>
      </c>
    </row>
    <row r="5" spans="1:6" s="44" customFormat="1">
      <c r="A5" s="45" t="s">
        <v>35</v>
      </c>
    </row>
    <row r="7" spans="1:6" s="44" customFormat="1" ht="23">
      <c r="A7" s="46" t="s">
        <v>36</v>
      </c>
    </row>
    <row r="9" spans="1:6" s="44" customFormat="1">
      <c r="A9" s="47" t="s">
        <v>37</v>
      </c>
    </row>
    <row r="11" spans="1:6" s="44" customFormat="1" ht="15" thickBot="1">
      <c r="A11" s="48" t="s">
        <v>38</v>
      </c>
      <c r="B11" s="49" t="s">
        <v>39</v>
      </c>
      <c r="C11" s="49" t="s">
        <v>40</v>
      </c>
      <c r="D11" s="49" t="s">
        <v>41</v>
      </c>
      <c r="E11" s="49" t="s">
        <v>42</v>
      </c>
      <c r="F11" s="50" t="s">
        <v>43</v>
      </c>
    </row>
    <row r="12" spans="1:6" s="44" customFormat="1" ht="28.5" thickBot="1">
      <c r="A12" s="51" t="s">
        <v>44</v>
      </c>
      <c r="B12" s="52" t="s">
        <v>45</v>
      </c>
      <c r="C12" s="52" t="s">
        <v>46</v>
      </c>
      <c r="D12" s="52" t="s">
        <v>47</v>
      </c>
      <c r="E12" s="52" t="s">
        <v>48</v>
      </c>
      <c r="F12" s="53" t="s">
        <v>49</v>
      </c>
    </row>
    <row r="13" spans="1:6" s="44" customFormat="1" ht="56.5" thickBot="1">
      <c r="A13" s="51" t="s">
        <v>50</v>
      </c>
      <c r="B13" s="52" t="s">
        <v>51</v>
      </c>
      <c r="C13" s="52" t="s">
        <v>52</v>
      </c>
      <c r="D13" s="52" t="s">
        <v>53</v>
      </c>
      <c r="E13" s="52" t="s">
        <v>54</v>
      </c>
      <c r="F13" s="53" t="s">
        <v>49</v>
      </c>
    </row>
    <row r="14" spans="1:6" s="44" customFormat="1" ht="15" thickBot="1">
      <c r="A14" s="51" t="s">
        <v>55</v>
      </c>
      <c r="B14" s="54">
        <v>0.65939999999999999</v>
      </c>
      <c r="C14" s="54">
        <v>0.65959999999999996</v>
      </c>
      <c r="D14" s="54">
        <v>2.0000000000000001E-4</v>
      </c>
      <c r="E14" s="54">
        <v>0.6</v>
      </c>
      <c r="F14" s="53" t="s">
        <v>56</v>
      </c>
    </row>
    <row r="15" spans="1:6" s="44" customFormat="1" ht="28">
      <c r="A15" s="55" t="s">
        <v>57</v>
      </c>
      <c r="B15" s="56" t="s">
        <v>58</v>
      </c>
      <c r="C15" s="56" t="s">
        <v>59</v>
      </c>
      <c r="D15" s="56" t="s">
        <v>60</v>
      </c>
      <c r="E15" s="56" t="s">
        <v>0</v>
      </c>
      <c r="F15" s="57" t="s">
        <v>61</v>
      </c>
    </row>
    <row r="16" spans="1:6" s="44" customFormat="1" ht="23">
      <c r="A16" s="46" t="s">
        <v>62</v>
      </c>
    </row>
    <row r="18" spans="1:1" s="44" customFormat="1" ht="17.5">
      <c r="A18" s="58" t="s">
        <v>63</v>
      </c>
    </row>
    <row r="19" spans="1:1" s="44" customFormat="1">
      <c r="A19" s="59"/>
    </row>
    <row r="20" spans="1:1" s="44" customFormat="1">
      <c r="A20" s="60" t="s">
        <v>64</v>
      </c>
    </row>
    <row r="21" spans="1:1" s="44" customFormat="1">
      <c r="A21" s="59"/>
    </row>
    <row r="22" spans="1:1" s="44" customFormat="1">
      <c r="A22" s="60" t="s">
        <v>65</v>
      </c>
    </row>
    <row r="24" spans="1:1" s="44" customFormat="1" ht="17.5">
      <c r="A24" s="58" t="s">
        <v>66</v>
      </c>
    </row>
    <row r="25" spans="1:1" s="44" customFormat="1">
      <c r="A25" s="59"/>
    </row>
    <row r="26" spans="1:1" s="44" customFormat="1">
      <c r="A26" s="60" t="s">
        <v>67</v>
      </c>
    </row>
    <row r="27" spans="1:1" s="44" customFormat="1">
      <c r="A27" s="59"/>
    </row>
    <row r="28" spans="1:1" s="44" customFormat="1">
      <c r="A28" s="60" t="s">
        <v>68</v>
      </c>
    </row>
    <row r="29" spans="1:1" s="44" customFormat="1">
      <c r="A29" s="59"/>
    </row>
    <row r="30" spans="1:1" s="44" customFormat="1">
      <c r="A30" s="60" t="s">
        <v>69</v>
      </c>
    </row>
    <row r="32" spans="1:1" s="44" customFormat="1" ht="17.5">
      <c r="A32" s="58" t="s">
        <v>70</v>
      </c>
    </row>
    <row r="33" spans="1:23" s="44" customFormat="1">
      <c r="A33" s="59"/>
    </row>
    <row r="34" spans="1:23" s="44" customFormat="1">
      <c r="A34" s="60" t="s">
        <v>71</v>
      </c>
    </row>
    <row r="35" spans="1:23" s="44" customFormat="1">
      <c r="A35" s="59"/>
    </row>
    <row r="36" spans="1:23" s="44" customFormat="1">
      <c r="A36" s="60" t="s">
        <v>72</v>
      </c>
    </row>
    <row r="37" spans="1:23" s="44" customFormat="1">
      <c r="A37" s="59"/>
    </row>
    <row r="38" spans="1:23" s="44" customFormat="1">
      <c r="A38" s="60" t="s">
        <v>73</v>
      </c>
    </row>
    <row r="40" spans="1:23" s="44" customFormat="1" ht="23">
      <c r="A40" s="46" t="s">
        <v>74</v>
      </c>
    </row>
    <row r="41" spans="1:23" s="44" customFormat="1">
      <c r="A41" s="61"/>
    </row>
    <row r="42" spans="1:23" s="44" customFormat="1">
      <c r="A42" s="62" t="s">
        <v>75</v>
      </c>
      <c r="L42" s="40"/>
      <c r="M42" s="40"/>
      <c r="N42" s="40"/>
      <c r="O42" s="40"/>
      <c r="P42" s="40"/>
      <c r="Q42" s="40"/>
      <c r="R42" s="40"/>
      <c r="S42" s="40"/>
      <c r="T42" s="40"/>
      <c r="U42" s="40"/>
      <c r="V42" s="40"/>
      <c r="W42" s="40"/>
    </row>
    <row r="43" spans="1:23" s="44" customFormat="1">
      <c r="A43" s="63" t="s">
        <v>89</v>
      </c>
      <c r="B43" s="63"/>
      <c r="C43" s="63"/>
      <c r="D43" s="63"/>
      <c r="E43" s="63"/>
      <c r="F43" s="63"/>
      <c r="G43" s="63"/>
      <c r="H43" s="63"/>
      <c r="I43" s="63"/>
      <c r="J43" s="63"/>
      <c r="K43" s="63"/>
      <c r="L43" s="40"/>
      <c r="M43" s="40"/>
      <c r="N43" s="40"/>
      <c r="O43" s="40"/>
      <c r="P43" s="40"/>
      <c r="Q43" s="40"/>
      <c r="R43" s="40"/>
      <c r="S43" s="40"/>
      <c r="T43" s="40"/>
      <c r="U43" s="40"/>
      <c r="V43" s="40"/>
      <c r="W43" s="40"/>
    </row>
    <row r="44" spans="1:23" s="44" customFormat="1">
      <c r="A44" s="62" t="s">
        <v>76</v>
      </c>
      <c r="L44" s="40"/>
      <c r="M44" s="40"/>
      <c r="N44" s="40"/>
      <c r="O44" s="40"/>
      <c r="P44" s="40"/>
      <c r="Q44" s="40"/>
      <c r="R44" s="40"/>
      <c r="S44" s="40"/>
      <c r="T44" s="40"/>
      <c r="U44" s="40"/>
      <c r="V44" s="40"/>
      <c r="W44" s="40"/>
    </row>
    <row r="45" spans="1:23" s="44" customFormat="1">
      <c r="A45" s="64" t="s">
        <v>87</v>
      </c>
      <c r="B45" s="64"/>
      <c r="C45" s="64"/>
      <c r="D45" s="64"/>
      <c r="E45" s="64"/>
      <c r="F45" s="64"/>
      <c r="G45" s="64"/>
      <c r="H45" s="64"/>
      <c r="I45" s="64"/>
      <c r="J45" s="64"/>
      <c r="K45" s="64"/>
      <c r="L45" s="64"/>
      <c r="M45" s="64"/>
    </row>
    <row r="46" spans="1:23" s="44" customFormat="1">
      <c r="A46" s="64" t="s">
        <v>88</v>
      </c>
      <c r="B46" s="64"/>
      <c r="C46" s="64"/>
      <c r="D46" s="64"/>
      <c r="E46" s="64"/>
      <c r="F46" s="64"/>
      <c r="G46" s="64"/>
      <c r="H46" s="64"/>
      <c r="I46" s="64"/>
      <c r="J46" s="64"/>
      <c r="K46" s="64"/>
      <c r="L46" s="64"/>
      <c r="M46" s="64"/>
      <c r="N46" s="64"/>
    </row>
    <row r="47" spans="1:23" s="44" customFormat="1">
      <c r="A47" s="62" t="s">
        <v>77</v>
      </c>
    </row>
    <row r="48" spans="1:23" s="44" customFormat="1">
      <c r="A48" s="62" t="s">
        <v>78</v>
      </c>
    </row>
    <row r="49" spans="1:15" s="44" customFormat="1">
      <c r="A49" s="62" t="s">
        <v>79</v>
      </c>
    </row>
    <row r="50" spans="1:15" s="44" customFormat="1">
      <c r="A50" s="64" t="s">
        <v>84</v>
      </c>
      <c r="B50" s="64"/>
      <c r="C50" s="64"/>
      <c r="D50" s="64"/>
      <c r="E50" s="64"/>
      <c r="F50" s="64"/>
      <c r="G50" s="64"/>
      <c r="H50" s="64"/>
      <c r="I50" s="64"/>
      <c r="J50" s="64"/>
      <c r="K50" s="64"/>
      <c r="L50" s="64"/>
      <c r="M50" s="64"/>
      <c r="N50" s="64"/>
      <c r="O50" s="64"/>
    </row>
    <row r="51" spans="1:15" s="44" customFormat="1">
      <c r="A51" s="64" t="s">
        <v>85</v>
      </c>
      <c r="B51" s="64"/>
      <c r="C51" s="64"/>
      <c r="D51" s="64"/>
      <c r="E51" s="64"/>
      <c r="F51" s="64"/>
      <c r="G51" s="64"/>
      <c r="H51" s="64"/>
      <c r="I51" s="64"/>
      <c r="J51" s="64"/>
      <c r="K51" s="64"/>
      <c r="L51" s="64"/>
      <c r="M51" s="64"/>
      <c r="N51" s="64"/>
    </row>
    <row r="52" spans="1:15" s="44" customFormat="1">
      <c r="A52" s="64" t="s">
        <v>86</v>
      </c>
      <c r="B52" s="64"/>
      <c r="C52" s="64"/>
      <c r="D52" s="64"/>
      <c r="E52" s="64"/>
      <c r="F52" s="64"/>
      <c r="G52" s="64"/>
      <c r="H52" s="64"/>
      <c r="I52" s="64"/>
      <c r="J52" s="64"/>
      <c r="K52" s="64"/>
      <c r="L52" s="64"/>
      <c r="M52" s="64"/>
      <c r="N52" s="64"/>
      <c r="O52" s="64"/>
    </row>
    <row r="53" spans="1:15" s="44" customFormat="1">
      <c r="A53" s="64" t="s">
        <v>80</v>
      </c>
      <c r="B53" s="64"/>
      <c r="C53" s="64"/>
      <c r="D53" s="64"/>
      <c r="E53" s="64"/>
      <c r="F53" s="64"/>
      <c r="G53" s="64"/>
      <c r="H53" s="64"/>
      <c r="I53" s="64"/>
      <c r="J53" s="64"/>
      <c r="K53" s="64"/>
      <c r="L53" s="64"/>
    </row>
    <row r="54" spans="1:15" s="44" customFormat="1">
      <c r="A54" s="59"/>
    </row>
    <row r="55" spans="1:15" s="44" customFormat="1">
      <c r="A55" s="60" t="s">
        <v>81</v>
      </c>
    </row>
    <row r="56" spans="1:15" s="44" customFormat="1">
      <c r="A56" s="59"/>
    </row>
    <row r="57" spans="1:15" s="44" customFormat="1">
      <c r="A57" s="60" t="s">
        <v>82</v>
      </c>
    </row>
    <row r="58" spans="1:15" s="44" customFormat="1">
      <c r="A58" s="59"/>
    </row>
    <row r="59" spans="1:15" s="44" customFormat="1">
      <c r="A59" s="60" t="s">
        <v>83</v>
      </c>
    </row>
  </sheetData>
  <mergeCells count="8">
    <mergeCell ref="A51:N51"/>
    <mergeCell ref="A50:O50"/>
    <mergeCell ref="A52:O52"/>
    <mergeCell ref="A53:L53"/>
    <mergeCell ref="A45:M45"/>
    <mergeCell ref="A46:N46"/>
    <mergeCell ref="L42:W44"/>
    <mergeCell ref="A43:K4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C489E-3EDE-4AFF-9C9D-C7B77E81C4E6}">
  <dimension ref="A2:Y33"/>
  <sheetViews>
    <sheetView showGridLines="0" workbookViewId="0">
      <selection activeCell="H34" sqref="H34"/>
    </sheetView>
  </sheetViews>
  <sheetFormatPr defaultRowHeight="14.5"/>
  <cols>
    <col min="1" max="16384" width="8.7265625" style="6"/>
  </cols>
  <sheetData>
    <row r="2" spans="1:25">
      <c r="B2" s="7" t="s">
        <v>22</v>
      </c>
      <c r="C2" s="8"/>
      <c r="D2" s="8"/>
      <c r="E2" s="8"/>
      <c r="F2" s="8"/>
      <c r="G2" s="8"/>
      <c r="H2" s="8"/>
      <c r="I2" s="8"/>
      <c r="J2" s="8"/>
      <c r="K2" s="8"/>
      <c r="L2" s="8"/>
      <c r="M2" s="8"/>
      <c r="N2" s="8"/>
      <c r="O2" s="8"/>
      <c r="P2" s="8"/>
      <c r="Q2" s="8"/>
      <c r="R2" s="8"/>
      <c r="S2" s="8"/>
      <c r="T2" s="8"/>
      <c r="U2" s="8"/>
      <c r="V2" s="8"/>
      <c r="W2" s="8"/>
      <c r="X2" s="8"/>
    </row>
    <row r="3" spans="1:25">
      <c r="B3" s="8"/>
      <c r="C3" s="8"/>
      <c r="D3" s="8"/>
      <c r="E3" s="8"/>
      <c r="F3" s="8"/>
      <c r="G3" s="8"/>
      <c r="H3" s="8"/>
      <c r="I3" s="8"/>
      <c r="J3" s="8"/>
      <c r="K3" s="8"/>
      <c r="L3" s="8"/>
      <c r="M3" s="8"/>
      <c r="N3" s="8"/>
      <c r="O3" s="8"/>
      <c r="P3" s="8"/>
      <c r="Q3" s="8"/>
      <c r="R3" s="8"/>
      <c r="S3" s="8"/>
      <c r="T3" s="8"/>
      <c r="U3" s="8"/>
      <c r="V3" s="8"/>
      <c r="W3" s="8"/>
      <c r="X3" s="8"/>
    </row>
    <row r="4" spans="1:25">
      <c r="B4" s="20" t="s">
        <v>23</v>
      </c>
      <c r="C4" s="20"/>
      <c r="G4" s="20" t="s">
        <v>25</v>
      </c>
      <c r="H4" s="20"/>
      <c r="L4" s="20" t="s">
        <v>26</v>
      </c>
      <c r="M4" s="20"/>
      <c r="Q4" s="30" t="s">
        <v>27</v>
      </c>
      <c r="R4" s="30"/>
      <c r="S4" s="30"/>
    </row>
    <row r="5" spans="1:25">
      <c r="B5" s="11">
        <f>Sheet4!A2</f>
        <v>32550</v>
      </c>
      <c r="C5" s="12"/>
      <c r="D5" s="12"/>
      <c r="E5" s="13"/>
      <c r="G5" s="11">
        <f>Sheet4!C2</f>
        <v>24850</v>
      </c>
      <c r="H5" s="12"/>
      <c r="I5" s="12"/>
      <c r="J5" s="13"/>
      <c r="L5" s="21">
        <f>Sheet4!B2</f>
        <v>0.76344086021505375</v>
      </c>
      <c r="M5" s="22"/>
      <c r="N5" s="22"/>
      <c r="O5" s="23"/>
      <c r="Q5" s="31">
        <f>Sheet4!E2</f>
        <v>2034.375</v>
      </c>
      <c r="R5" s="32"/>
      <c r="S5" s="32"/>
      <c r="T5" s="33"/>
    </row>
    <row r="6" spans="1:25">
      <c r="B6" s="14"/>
      <c r="C6" s="15"/>
      <c r="D6" s="15"/>
      <c r="E6" s="16"/>
      <c r="G6" s="14"/>
      <c r="H6" s="15"/>
      <c r="I6" s="15"/>
      <c r="J6" s="16"/>
      <c r="L6" s="24"/>
      <c r="M6" s="25"/>
      <c r="N6" s="25"/>
      <c r="O6" s="26"/>
      <c r="Q6" s="34"/>
      <c r="R6" s="35"/>
      <c r="S6" s="35"/>
      <c r="T6" s="36"/>
    </row>
    <row r="7" spans="1:25">
      <c r="B7" s="17"/>
      <c r="C7" s="18"/>
      <c r="D7" s="18"/>
      <c r="E7" s="19"/>
      <c r="G7" s="17"/>
      <c r="H7" s="18"/>
      <c r="I7" s="18"/>
      <c r="J7" s="19"/>
      <c r="L7" s="27"/>
      <c r="M7" s="28"/>
      <c r="N7" s="28"/>
      <c r="O7" s="29"/>
      <c r="Q7" s="37"/>
      <c r="R7" s="38"/>
      <c r="S7" s="38"/>
      <c r="T7" s="39"/>
    </row>
    <row r="9" spans="1:25">
      <c r="A9" s="65"/>
      <c r="B9" s="9"/>
      <c r="C9" s="9"/>
      <c r="D9" s="9"/>
      <c r="E9" s="9"/>
      <c r="F9" s="9"/>
      <c r="G9" s="9"/>
      <c r="H9" s="9"/>
      <c r="I9" s="65"/>
      <c r="J9" s="10"/>
      <c r="K9" s="10"/>
      <c r="L9" s="10"/>
      <c r="M9" s="10"/>
      <c r="N9" s="10"/>
      <c r="O9" s="10"/>
      <c r="P9" s="10"/>
      <c r="Q9" s="65"/>
      <c r="R9" s="9"/>
      <c r="S9" s="9"/>
      <c r="T9" s="9"/>
      <c r="U9" s="9"/>
      <c r="V9" s="9"/>
      <c r="W9" s="9"/>
      <c r="X9" s="9"/>
      <c r="Y9" s="65"/>
    </row>
    <row r="10" spans="1:25">
      <c r="A10" s="65"/>
      <c r="B10" s="9"/>
      <c r="C10" s="9"/>
      <c r="D10" s="9"/>
      <c r="E10" s="9"/>
      <c r="F10" s="9"/>
      <c r="G10" s="9"/>
      <c r="H10" s="9"/>
      <c r="I10" s="65"/>
      <c r="J10" s="10"/>
      <c r="K10" s="10"/>
      <c r="L10" s="10"/>
      <c r="M10" s="10"/>
      <c r="N10" s="10"/>
      <c r="O10" s="10"/>
      <c r="P10" s="10"/>
      <c r="Q10" s="65"/>
      <c r="R10" s="9"/>
      <c r="S10" s="9"/>
      <c r="T10" s="9"/>
      <c r="U10" s="9"/>
      <c r="V10" s="9"/>
      <c r="W10" s="9"/>
      <c r="X10" s="9"/>
      <c r="Y10" s="65"/>
    </row>
    <row r="11" spans="1:25">
      <c r="A11" s="65"/>
      <c r="B11" s="9"/>
      <c r="C11" s="9"/>
      <c r="D11" s="9"/>
      <c r="E11" s="9"/>
      <c r="F11" s="9"/>
      <c r="G11" s="9"/>
      <c r="H11" s="9"/>
      <c r="I11" s="65"/>
      <c r="J11" s="10"/>
      <c r="K11" s="10"/>
      <c r="L11" s="10"/>
      <c r="M11" s="10"/>
      <c r="N11" s="10"/>
      <c r="O11" s="10"/>
      <c r="P11" s="10"/>
      <c r="Q11" s="65"/>
      <c r="R11" s="9"/>
      <c r="S11" s="9"/>
      <c r="T11" s="9"/>
      <c r="U11" s="9"/>
      <c r="V11" s="9"/>
      <c r="W11" s="9"/>
      <c r="X11" s="9"/>
      <c r="Y11" s="65"/>
    </row>
    <row r="12" spans="1:25">
      <c r="A12" s="65"/>
      <c r="B12" s="9"/>
      <c r="C12" s="9"/>
      <c r="D12" s="9"/>
      <c r="E12" s="9"/>
      <c r="F12" s="9"/>
      <c r="G12" s="9"/>
      <c r="H12" s="9"/>
      <c r="I12" s="65"/>
      <c r="J12" s="10"/>
      <c r="K12" s="10"/>
      <c r="L12" s="10"/>
      <c r="M12" s="10"/>
      <c r="N12" s="10"/>
      <c r="O12" s="10"/>
      <c r="P12" s="10"/>
      <c r="Q12" s="65"/>
      <c r="R12" s="9"/>
      <c r="S12" s="9"/>
      <c r="T12" s="9"/>
      <c r="U12" s="9"/>
      <c r="V12" s="9"/>
      <c r="W12" s="9"/>
      <c r="X12" s="9"/>
      <c r="Y12" s="65"/>
    </row>
    <row r="14" spans="1:25">
      <c r="B14" s="42"/>
      <c r="C14" s="42"/>
      <c r="D14" s="42"/>
      <c r="E14" s="42"/>
      <c r="F14" s="42"/>
      <c r="G14" s="42"/>
      <c r="H14" s="42"/>
      <c r="I14" s="42"/>
      <c r="J14" s="42"/>
      <c r="K14" s="42"/>
      <c r="L14" s="42"/>
      <c r="M14" s="42"/>
      <c r="O14" s="42"/>
      <c r="P14" s="42"/>
      <c r="Q14" s="42"/>
      <c r="R14" s="42"/>
      <c r="S14" s="42"/>
      <c r="T14" s="42"/>
      <c r="U14" s="42"/>
      <c r="V14" s="42"/>
      <c r="W14" s="42"/>
      <c r="X14" s="42"/>
    </row>
    <row r="15" spans="1:25">
      <c r="B15" s="42"/>
      <c r="C15" s="42"/>
      <c r="D15" s="42"/>
      <c r="E15" s="42"/>
      <c r="F15" s="42"/>
      <c r="G15" s="42"/>
      <c r="H15" s="42"/>
      <c r="I15" s="42"/>
      <c r="J15" s="42"/>
      <c r="K15" s="42"/>
      <c r="L15" s="42"/>
      <c r="M15" s="42"/>
      <c r="O15" s="42"/>
      <c r="P15" s="42"/>
      <c r="Q15" s="42"/>
      <c r="R15" s="42"/>
      <c r="S15" s="42"/>
      <c r="T15" s="42"/>
      <c r="U15" s="42"/>
      <c r="V15" s="42"/>
      <c r="W15" s="42"/>
      <c r="X15" s="42"/>
    </row>
    <row r="16" spans="1:25">
      <c r="B16" s="42"/>
      <c r="C16" s="42"/>
      <c r="D16" s="42"/>
      <c r="E16" s="42"/>
      <c r="F16" s="42"/>
      <c r="G16" s="42"/>
      <c r="H16" s="42"/>
      <c r="I16" s="42"/>
      <c r="J16" s="42"/>
      <c r="K16" s="42"/>
      <c r="L16" s="42"/>
      <c r="M16" s="42"/>
      <c r="O16" s="42"/>
      <c r="P16" s="42"/>
      <c r="Q16" s="42"/>
      <c r="R16" s="42"/>
      <c r="S16" s="42"/>
      <c r="T16" s="42"/>
      <c r="U16" s="42"/>
      <c r="V16" s="42"/>
      <c r="W16" s="42"/>
      <c r="X16" s="42"/>
    </row>
    <row r="17" spans="2:24">
      <c r="B17" s="42"/>
      <c r="C17" s="42"/>
      <c r="D17" s="42"/>
      <c r="E17" s="42"/>
      <c r="F17" s="42"/>
      <c r="G17" s="42"/>
      <c r="H17" s="42"/>
      <c r="I17" s="42"/>
      <c r="J17" s="42"/>
      <c r="K17" s="42"/>
      <c r="L17" s="42"/>
      <c r="M17" s="42"/>
      <c r="O17" s="42"/>
      <c r="P17" s="42"/>
      <c r="Q17" s="42"/>
      <c r="R17" s="42"/>
      <c r="S17" s="42"/>
      <c r="T17" s="42"/>
      <c r="U17" s="42"/>
      <c r="V17" s="42"/>
      <c r="W17" s="42"/>
      <c r="X17" s="42"/>
    </row>
    <row r="18" spans="2:24">
      <c r="B18" s="42"/>
      <c r="C18" s="42"/>
      <c r="D18" s="42"/>
      <c r="E18" s="42"/>
      <c r="F18" s="42"/>
      <c r="G18" s="42"/>
      <c r="H18" s="42"/>
      <c r="I18" s="42"/>
      <c r="J18" s="42"/>
      <c r="K18" s="42"/>
      <c r="L18" s="42"/>
      <c r="M18" s="42"/>
      <c r="O18" s="42"/>
      <c r="P18" s="42"/>
      <c r="Q18" s="42"/>
      <c r="R18" s="42"/>
      <c r="S18" s="42"/>
      <c r="T18" s="42"/>
      <c r="U18" s="42"/>
      <c r="V18" s="42"/>
      <c r="W18" s="42"/>
      <c r="X18" s="42"/>
    </row>
    <row r="19" spans="2:24">
      <c r="B19" s="42"/>
      <c r="C19" s="42"/>
      <c r="D19" s="42"/>
      <c r="E19" s="42"/>
      <c r="F19" s="42"/>
      <c r="G19" s="42"/>
      <c r="H19" s="42"/>
      <c r="I19" s="42"/>
      <c r="J19" s="42"/>
      <c r="K19" s="42"/>
      <c r="L19" s="42"/>
      <c r="M19" s="42"/>
      <c r="O19" s="42"/>
      <c r="P19" s="42"/>
      <c r="Q19" s="42"/>
      <c r="R19" s="42"/>
      <c r="S19" s="42"/>
      <c r="T19" s="42"/>
      <c r="U19" s="42"/>
      <c r="V19" s="42"/>
      <c r="W19" s="42"/>
      <c r="X19" s="42"/>
    </row>
    <row r="20" spans="2:24">
      <c r="B20" s="42"/>
      <c r="C20" s="42"/>
      <c r="D20" s="42"/>
      <c r="E20" s="42"/>
      <c r="F20" s="42"/>
      <c r="G20" s="42"/>
      <c r="H20" s="42"/>
      <c r="I20" s="42"/>
      <c r="J20" s="42"/>
      <c r="K20" s="42"/>
      <c r="L20" s="42"/>
      <c r="M20" s="42"/>
      <c r="O20" s="42"/>
      <c r="P20" s="42"/>
      <c r="Q20" s="42"/>
      <c r="R20" s="42"/>
      <c r="S20" s="42"/>
      <c r="T20" s="42"/>
      <c r="U20" s="42"/>
      <c r="V20" s="42"/>
      <c r="W20" s="42"/>
      <c r="X20" s="42"/>
    </row>
    <row r="21" spans="2:24">
      <c r="B21" s="42"/>
      <c r="C21" s="42"/>
      <c r="D21" s="42"/>
      <c r="E21" s="42"/>
      <c r="F21" s="42"/>
      <c r="G21" s="42"/>
      <c r="H21" s="42"/>
      <c r="I21" s="42"/>
      <c r="J21" s="42"/>
      <c r="K21" s="42"/>
      <c r="L21" s="42"/>
      <c r="M21" s="42"/>
      <c r="O21" s="42"/>
      <c r="P21" s="42"/>
      <c r="Q21" s="42"/>
      <c r="R21" s="42"/>
      <c r="S21" s="42"/>
      <c r="T21" s="42"/>
      <c r="U21" s="42"/>
      <c r="V21" s="42"/>
      <c r="W21" s="42"/>
      <c r="X21" s="42"/>
    </row>
    <row r="22" spans="2:24">
      <c r="B22" s="42"/>
      <c r="C22" s="42"/>
      <c r="D22" s="42"/>
      <c r="E22" s="42"/>
      <c r="F22" s="42"/>
      <c r="G22" s="42"/>
      <c r="H22" s="42"/>
      <c r="I22" s="42"/>
      <c r="J22" s="42"/>
      <c r="K22" s="42"/>
      <c r="L22" s="42"/>
      <c r="M22" s="42"/>
      <c r="O22" s="42"/>
      <c r="P22" s="42"/>
      <c r="Q22" s="42"/>
      <c r="R22" s="42"/>
      <c r="S22" s="42"/>
      <c r="T22" s="42"/>
      <c r="U22" s="42"/>
      <c r="V22" s="42"/>
      <c r="W22" s="42"/>
      <c r="X22" s="42"/>
    </row>
    <row r="23" spans="2:24">
      <c r="B23" s="42"/>
      <c r="C23" s="42"/>
      <c r="D23" s="42"/>
      <c r="E23" s="42"/>
      <c r="F23" s="42"/>
      <c r="G23" s="42"/>
      <c r="H23" s="42"/>
      <c r="I23" s="42"/>
      <c r="J23" s="42"/>
      <c r="K23" s="42"/>
      <c r="L23" s="42"/>
      <c r="M23" s="42"/>
      <c r="O23" s="42"/>
      <c r="P23" s="42"/>
      <c r="Q23" s="42"/>
      <c r="R23" s="42"/>
      <c r="S23" s="42"/>
      <c r="T23" s="42"/>
      <c r="U23" s="42"/>
      <c r="V23" s="42"/>
      <c r="W23" s="42"/>
      <c r="X23" s="42"/>
    </row>
    <row r="24" spans="2:24">
      <c r="B24" s="42"/>
      <c r="C24" s="42"/>
      <c r="D24" s="42"/>
      <c r="E24" s="42"/>
      <c r="F24" s="42"/>
      <c r="G24" s="42"/>
      <c r="H24" s="42"/>
      <c r="I24" s="42"/>
      <c r="J24" s="42"/>
      <c r="K24" s="42"/>
      <c r="L24" s="42"/>
      <c r="M24" s="42"/>
      <c r="O24" s="42"/>
      <c r="P24" s="42"/>
      <c r="Q24" s="42"/>
      <c r="R24" s="42"/>
      <c r="S24" s="42"/>
      <c r="T24" s="42"/>
      <c r="U24" s="42"/>
      <c r="V24" s="42"/>
      <c r="W24" s="42"/>
      <c r="X24" s="42"/>
    </row>
    <row r="25" spans="2:24">
      <c r="B25" s="42"/>
      <c r="C25" s="42"/>
      <c r="D25" s="42"/>
      <c r="E25" s="42"/>
      <c r="F25" s="42"/>
      <c r="G25" s="42"/>
      <c r="H25" s="42"/>
      <c r="I25" s="42"/>
      <c r="J25" s="42"/>
      <c r="K25" s="42"/>
      <c r="L25" s="42"/>
      <c r="M25" s="42"/>
      <c r="O25" s="42"/>
      <c r="P25" s="42"/>
      <c r="Q25" s="42"/>
      <c r="R25" s="42"/>
      <c r="S25" s="42"/>
      <c r="T25" s="42"/>
      <c r="U25" s="42"/>
      <c r="V25" s="42"/>
      <c r="W25" s="42"/>
      <c r="X25" s="42"/>
    </row>
    <row r="26" spans="2:24">
      <c r="B26" s="42"/>
      <c r="C26" s="42"/>
      <c r="D26" s="42"/>
      <c r="E26" s="42"/>
      <c r="F26" s="42"/>
      <c r="G26" s="42"/>
      <c r="H26" s="42"/>
      <c r="I26" s="42"/>
      <c r="J26" s="42"/>
      <c r="K26" s="42"/>
      <c r="L26" s="42"/>
      <c r="M26" s="42"/>
      <c r="O26" s="42"/>
      <c r="P26" s="42"/>
      <c r="Q26" s="42"/>
      <c r="R26" s="42"/>
      <c r="S26" s="42"/>
      <c r="T26" s="42"/>
      <c r="U26" s="42"/>
      <c r="V26" s="42"/>
      <c r="W26" s="42"/>
      <c r="X26" s="42"/>
    </row>
    <row r="27" spans="2:24">
      <c r="B27" s="42"/>
      <c r="C27" s="42"/>
      <c r="D27" s="42"/>
      <c r="E27" s="42"/>
      <c r="F27" s="42"/>
      <c r="G27" s="42"/>
      <c r="H27" s="42"/>
      <c r="I27" s="42"/>
      <c r="J27" s="42"/>
      <c r="K27" s="42"/>
      <c r="L27" s="42"/>
      <c r="M27" s="42"/>
      <c r="O27" s="42"/>
      <c r="P27" s="42"/>
      <c r="Q27" s="42"/>
      <c r="R27" s="42"/>
      <c r="S27" s="42"/>
      <c r="T27" s="42"/>
      <c r="U27" s="42"/>
      <c r="V27" s="42"/>
      <c r="W27" s="42"/>
      <c r="X27" s="42"/>
    </row>
    <row r="28" spans="2:24">
      <c r="B28" s="42"/>
      <c r="C28" s="42"/>
      <c r="D28" s="42"/>
      <c r="E28" s="42"/>
      <c r="F28" s="42"/>
      <c r="G28" s="42"/>
      <c r="H28" s="42"/>
      <c r="I28" s="42"/>
      <c r="J28" s="42"/>
      <c r="K28" s="42"/>
      <c r="L28" s="42"/>
      <c r="M28" s="42"/>
      <c r="O28" s="42"/>
      <c r="P28" s="42"/>
      <c r="Q28" s="42"/>
      <c r="R28" s="42"/>
      <c r="S28" s="42"/>
      <c r="T28" s="42"/>
      <c r="U28" s="42"/>
      <c r="V28" s="42"/>
      <c r="W28" s="42"/>
      <c r="X28" s="42"/>
    </row>
    <row r="33" spans="11:11">
      <c r="K33" s="41"/>
    </row>
  </sheetData>
  <mergeCells count="14">
    <mergeCell ref="B9:H12"/>
    <mergeCell ref="J9:P12"/>
    <mergeCell ref="R9:X12"/>
    <mergeCell ref="B14:M28"/>
    <mergeCell ref="O14:X28"/>
    <mergeCell ref="B2:X3"/>
    <mergeCell ref="B5:E7"/>
    <mergeCell ref="G5:J7"/>
    <mergeCell ref="B4:C4"/>
    <mergeCell ref="G4:H4"/>
    <mergeCell ref="L4:M4"/>
    <mergeCell ref="L5:O7"/>
    <mergeCell ref="Q5:T7"/>
    <mergeCell ref="Q4:S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8170-43F5-4E68-8BB4-20D0EEC40722}">
  <dimension ref="A1:H11"/>
  <sheetViews>
    <sheetView workbookViewId="0">
      <selection activeCell="A5" sqref="A5"/>
    </sheetView>
  </sheetViews>
  <sheetFormatPr defaultRowHeight="14.5"/>
  <cols>
    <col min="1" max="1" width="13.36328125" bestFit="1" customWidth="1"/>
    <col min="2" max="2" width="16.1796875" bestFit="1" customWidth="1"/>
    <col min="3" max="3" width="10.81640625" bestFit="1" customWidth="1"/>
    <col min="4" max="4" width="12.453125" bestFit="1" customWidth="1"/>
    <col min="5" max="5" width="10.81640625" bestFit="1" customWidth="1"/>
    <col min="6" max="6" width="10.453125" bestFit="1" customWidth="1"/>
    <col min="7" max="7" width="19.1796875" bestFit="1" customWidth="1"/>
    <col min="8" max="8" width="17.7265625" bestFit="1" customWidth="1"/>
  </cols>
  <sheetData>
    <row r="1" spans="1:8">
      <c r="A1" t="s">
        <v>3</v>
      </c>
      <c r="B1" t="s">
        <v>5</v>
      </c>
      <c r="C1" t="s">
        <v>4</v>
      </c>
      <c r="D1" t="s">
        <v>20</v>
      </c>
      <c r="E1" t="s">
        <v>6</v>
      </c>
      <c r="F1" t="s">
        <v>24</v>
      </c>
      <c r="G1" t="s">
        <v>16</v>
      </c>
      <c r="H1" t="s">
        <v>21</v>
      </c>
    </row>
    <row r="2" spans="1:8">
      <c r="A2" s="2">
        <v>32550</v>
      </c>
      <c r="B2" s="5">
        <v>0.76344086021505375</v>
      </c>
      <c r="C2" s="1">
        <v>24850</v>
      </c>
      <c r="D2" s="1">
        <v>7700</v>
      </c>
      <c r="E2" s="1">
        <v>2034.375</v>
      </c>
      <c r="F2" s="1">
        <v>32</v>
      </c>
      <c r="G2" s="1">
        <v>1</v>
      </c>
      <c r="H2" s="1">
        <v>7700</v>
      </c>
    </row>
    <row r="5" spans="1:8">
      <c r="A5" s="3" t="s">
        <v>7</v>
      </c>
      <c r="B5" t="s">
        <v>3</v>
      </c>
      <c r="D5" s="3" t="s">
        <v>7</v>
      </c>
      <c r="E5" t="s">
        <v>4</v>
      </c>
    </row>
    <row r="6" spans="1:8">
      <c r="A6" s="4" t="s">
        <v>28</v>
      </c>
      <c r="B6" s="2">
        <v>1700</v>
      </c>
      <c r="D6" s="4" t="s">
        <v>14</v>
      </c>
      <c r="E6" s="1">
        <v>3700</v>
      </c>
    </row>
    <row r="7" spans="1:8">
      <c r="A7" s="4" t="s">
        <v>29</v>
      </c>
      <c r="B7" s="2">
        <v>6900</v>
      </c>
      <c r="D7" s="4" t="s">
        <v>15</v>
      </c>
      <c r="E7" s="1">
        <v>21150</v>
      </c>
    </row>
    <row r="8" spans="1:8">
      <c r="A8" s="4" t="s">
        <v>30</v>
      </c>
      <c r="B8" s="2">
        <v>9200</v>
      </c>
      <c r="D8" s="4" t="s">
        <v>13</v>
      </c>
      <c r="E8" s="1">
        <v>24850</v>
      </c>
    </row>
    <row r="9" spans="1:8">
      <c r="A9" s="4" t="s">
        <v>31</v>
      </c>
      <c r="B9" s="2">
        <v>7150</v>
      </c>
    </row>
    <row r="10" spans="1:8">
      <c r="A10" s="4" t="s">
        <v>32</v>
      </c>
      <c r="B10" s="2">
        <v>7600</v>
      </c>
    </row>
    <row r="11" spans="1:8">
      <c r="A11" s="4" t="s">
        <v>13</v>
      </c>
      <c r="B11" s="2">
        <v>32550</v>
      </c>
    </row>
  </sheetData>
  <conditionalFormatting pivot="1" sqref="G2">
    <cfRule type="iconSet" priority="1">
      <iconSet showValue="0">
        <cfvo type="num" val="-1"/>
        <cfvo type="num" val="-0.5"/>
        <cfvo type="num" val="0.5"/>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9854F1E-6E2B-4932-B3B8-D6D6C0A74FAE}">
  <ds:schemaRefs/>
</ds:datastoreItem>
</file>

<file path=customXml/itemProps2.xml><?xml version="1.0" encoding="utf-8"?>
<ds:datastoreItem xmlns:ds="http://schemas.openxmlformats.org/officeDocument/2006/customXml" ds:itemID="{F57702FB-6853-42E9-BF30-65A88A8C4905}">
  <ds:schemaRefs/>
</ds:datastoreItem>
</file>

<file path=customXml/itemProps3.xml><?xml version="1.0" encoding="utf-8"?>
<ds:datastoreItem xmlns:ds="http://schemas.openxmlformats.org/officeDocument/2006/customXml" ds:itemID="{42C83A5B-37FF-4993-95B4-AA8C12DFC182}">
  <ds:schemaRefs/>
</ds:datastoreItem>
</file>

<file path=customXml/itemProps4.xml><?xml version="1.0" encoding="utf-8"?>
<ds:datastoreItem xmlns:ds="http://schemas.openxmlformats.org/officeDocument/2006/customXml" ds:itemID="{442DEE6F-F1B6-4646-BE3F-1699F30CE0F3}">
  <ds:schemaRefs/>
</ds:datastoreItem>
</file>

<file path=customXml/itemProps5.xml><?xml version="1.0" encoding="utf-8"?>
<ds:datastoreItem xmlns:ds="http://schemas.openxmlformats.org/officeDocument/2006/customXml" ds:itemID="{96499183-7865-4D9D-9D1B-76A48D94BF9E}">
  <ds:schemaRefs/>
</ds:datastoreItem>
</file>

<file path=customXml/itemProps6.xml><?xml version="1.0" encoding="utf-8"?>
<ds:datastoreItem xmlns:ds="http://schemas.openxmlformats.org/officeDocument/2006/customXml" ds:itemID="{B3E1CA04-7165-49C1-9FFB-77491CA3A603}">
  <ds:schemaRefs/>
</ds:datastoreItem>
</file>

<file path=customXml/itemProps7.xml><?xml version="1.0" encoding="utf-8"?>
<ds:datastoreItem xmlns:ds="http://schemas.openxmlformats.org/officeDocument/2006/customXml" ds:itemID="{659FB879-82E3-4187-8A52-38CF9D516EC7}">
  <ds:schemaRefs/>
</ds:datastoreItem>
</file>

<file path=customXml/itemProps8.xml><?xml version="1.0" encoding="utf-8"?>
<ds:datastoreItem xmlns:ds="http://schemas.openxmlformats.org/officeDocument/2006/customXml" ds:itemID="{A15D2F2B-60F0-48DF-A670-CD5523F583C3}">
  <ds:schemaRefs/>
</ds:datastoreItem>
</file>

<file path=customXml/itemProps9.xml><?xml version="1.0" encoding="utf-8"?>
<ds:datastoreItem xmlns:ds="http://schemas.openxmlformats.org/officeDocument/2006/customXml" ds:itemID="{93CB31B3-F78D-41C9-8D9F-263AC24DD4B0}">
  <ds:schemaRefs>
    <ds:schemaRef ds:uri="http://schemas.microsoft.com/DataMashup"/>
  </ds:schemaRefs>
</ds:datastoreItem>
</file>

<file path=customXml/itemProps10.xml><?xml version="1.0" encoding="utf-8"?>
<ds:datastoreItem xmlns:ds="http://schemas.openxmlformats.org/officeDocument/2006/customXml" ds:itemID="{30B7355D-4836-4DF2-AB7F-81ADBA3B7964}">
  <ds:schemaRefs/>
</ds:datastoreItem>
</file>

<file path=customXml/itemProps11.xml><?xml version="1.0" encoding="utf-8"?>
<ds:datastoreItem xmlns:ds="http://schemas.openxmlformats.org/officeDocument/2006/customXml" ds:itemID="{8E624547-705E-48B0-AA53-134A3FBFB5C7}">
  <ds:schemaRefs/>
</ds:datastoreItem>
</file>

<file path=customXml/itemProps12.xml><?xml version="1.0" encoding="utf-8"?>
<ds:datastoreItem xmlns:ds="http://schemas.openxmlformats.org/officeDocument/2006/customXml" ds:itemID="{A77207F0-BEFF-4261-8EBD-C36AA3912257}">
  <ds:schemaRefs/>
</ds:datastoreItem>
</file>

<file path=customXml/itemProps13.xml><?xml version="1.0" encoding="utf-8"?>
<ds:datastoreItem xmlns:ds="http://schemas.openxmlformats.org/officeDocument/2006/customXml" ds:itemID="{63345D83-C817-421B-AC80-EAD7A95FF9D3}">
  <ds:schemaRefs/>
</ds:datastoreItem>
</file>

<file path=customXml/itemProps14.xml><?xml version="1.0" encoding="utf-8"?>
<ds:datastoreItem xmlns:ds="http://schemas.openxmlformats.org/officeDocument/2006/customXml" ds:itemID="{9D2BDBE9-23B7-4326-A557-44B11FECCF2F}">
  <ds:schemaRefs/>
</ds:datastoreItem>
</file>

<file path=customXml/itemProps15.xml><?xml version="1.0" encoding="utf-8"?>
<ds:datastoreItem xmlns:ds="http://schemas.openxmlformats.org/officeDocument/2006/customXml" ds:itemID="{44DDFEC7-C28B-4910-A66D-47C076360C81}">
  <ds:schemaRefs/>
</ds:datastoreItem>
</file>

<file path=customXml/itemProps16.xml><?xml version="1.0" encoding="utf-8"?>
<ds:datastoreItem xmlns:ds="http://schemas.openxmlformats.org/officeDocument/2006/customXml" ds:itemID="{D09D32F9-4156-4341-B376-D02B83706094}">
  <ds:schemaRefs/>
</ds:datastoreItem>
</file>

<file path=customXml/itemProps17.xml><?xml version="1.0" encoding="utf-8"?>
<ds:datastoreItem xmlns:ds="http://schemas.openxmlformats.org/officeDocument/2006/customXml" ds:itemID="{934A6484-2B52-41D9-A0E8-970926F76896}">
  <ds:schemaRefs/>
</ds:datastoreItem>
</file>

<file path=customXml/itemProps18.xml><?xml version="1.0" encoding="utf-8"?>
<ds:datastoreItem xmlns:ds="http://schemas.openxmlformats.org/officeDocument/2006/customXml" ds:itemID="{8078617F-DDA6-4C42-8C14-AA713A4A5509}">
  <ds:schemaRefs/>
</ds:datastoreItem>
</file>

<file path=customXml/itemProps19.xml><?xml version="1.0" encoding="utf-8"?>
<ds:datastoreItem xmlns:ds="http://schemas.openxmlformats.org/officeDocument/2006/customXml" ds:itemID="{5854587B-60C9-49BB-A2C6-1ADF9B168C98}">
  <ds:schemaRefs/>
</ds:datastoreItem>
</file>

<file path=customXml/itemProps20.xml><?xml version="1.0" encoding="utf-8"?>
<ds:datastoreItem xmlns:ds="http://schemas.openxmlformats.org/officeDocument/2006/customXml" ds:itemID="{EAA82BB4-FFA7-464C-B94C-C5FBF24F505F}">
  <ds:schemaRefs/>
</ds:datastoreItem>
</file>

<file path=customXml/itemProps21.xml><?xml version="1.0" encoding="utf-8"?>
<ds:datastoreItem xmlns:ds="http://schemas.openxmlformats.org/officeDocument/2006/customXml" ds:itemID="{DA19A0CB-7326-415E-BF15-12DE17DE953F}">
  <ds:schemaRefs/>
</ds:datastoreItem>
</file>

<file path=customXml/itemProps22.xml><?xml version="1.0" encoding="utf-8"?>
<ds:datastoreItem xmlns:ds="http://schemas.openxmlformats.org/officeDocument/2006/customXml" ds:itemID="{E585309E-7E79-44D2-BA56-2DC7A3AF1F38}">
  <ds:schemaRefs/>
</ds:datastoreItem>
</file>

<file path=customXml/itemProps23.xml><?xml version="1.0" encoding="utf-8"?>
<ds:datastoreItem xmlns:ds="http://schemas.openxmlformats.org/officeDocument/2006/customXml" ds:itemID="{75C04732-F233-403E-948F-1BBDC24E73EC}">
  <ds:schemaRefs/>
</ds:datastoreItem>
</file>

<file path=customXml/itemProps24.xml><?xml version="1.0" encoding="utf-8"?>
<ds:datastoreItem xmlns:ds="http://schemas.openxmlformats.org/officeDocument/2006/customXml" ds:itemID="{CF55E3AF-AF58-40A5-9ADB-B535CF816541}">
  <ds:schemaRefs/>
</ds:datastoreItem>
</file>

<file path=customXml/itemProps25.xml><?xml version="1.0" encoding="utf-8"?>
<ds:datastoreItem xmlns:ds="http://schemas.openxmlformats.org/officeDocument/2006/customXml" ds:itemID="{298FAD94-CF8F-47CD-B2F0-D1C6D25F0752}">
  <ds:schemaRefs/>
</ds:datastoreItem>
</file>

<file path=customXml/itemProps26.xml><?xml version="1.0" encoding="utf-8"?>
<ds:datastoreItem xmlns:ds="http://schemas.openxmlformats.org/officeDocument/2006/customXml" ds:itemID="{85562A8F-1C16-4E39-9632-BD597B1B9E9B}">
  <ds:schemaRefs/>
</ds:datastoreItem>
</file>

<file path=customXml/itemProps27.xml><?xml version="1.0" encoding="utf-8"?>
<ds:datastoreItem xmlns:ds="http://schemas.openxmlformats.org/officeDocument/2006/customXml" ds:itemID="{7EE14D54-1ED2-4DF6-B42F-372E6BCA01C2}">
  <ds:schemaRefs/>
</ds:datastoreItem>
</file>

<file path=customXml/itemProps28.xml><?xml version="1.0" encoding="utf-8"?>
<ds:datastoreItem xmlns:ds="http://schemas.openxmlformats.org/officeDocument/2006/customXml" ds:itemID="{4F0C293E-2F4E-48D8-8C61-D67278747381}">
  <ds:schemaRefs/>
</ds:datastoreItem>
</file>

<file path=customXml/itemProps29.xml><?xml version="1.0" encoding="utf-8"?>
<ds:datastoreItem xmlns:ds="http://schemas.openxmlformats.org/officeDocument/2006/customXml" ds:itemID="{DE696D2F-983A-47CB-9D4D-40B47969C19E}">
  <ds:schemaRefs/>
</ds:datastoreItem>
</file>

<file path=customXml/itemProps30.xml><?xml version="1.0" encoding="utf-8"?>
<ds:datastoreItem xmlns:ds="http://schemas.openxmlformats.org/officeDocument/2006/customXml" ds:itemID="{F8A15010-7ADD-49E4-9D74-21EB2126BBCA}">
  <ds:schemaRefs/>
</ds:datastoreItem>
</file>

<file path=customXml/itemProps31.xml><?xml version="1.0" encoding="utf-8"?>
<ds:datastoreItem xmlns:ds="http://schemas.openxmlformats.org/officeDocument/2006/customXml" ds:itemID="{564BE0EE-113D-4F62-91F9-7A244369B1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raw_capstone_orders</vt:lpstr>
      <vt:lpstr>Summary</vt:lpstr>
      <vt:lpstr>Executive_Dashboard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Pavani Guntur</dc:creator>
  <cp:lastModifiedBy>Pavani Guntur</cp:lastModifiedBy>
  <dcterms:created xsi:type="dcterms:W3CDTF">2026-10-14T17:27:24Z</dcterms:created>
  <dcterms:modified xsi:type="dcterms:W3CDTF">2026-10-14T20:52:34Z</dcterms:modified>
</cp:coreProperties>
</file>