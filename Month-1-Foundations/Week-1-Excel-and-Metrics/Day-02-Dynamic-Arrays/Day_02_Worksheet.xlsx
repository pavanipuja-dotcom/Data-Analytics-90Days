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VANI\0_90 Day Data Analyst\"/>
    </mc:Choice>
  </mc:AlternateContent>
  <xr:revisionPtr revIDLastSave="0" documentId="13_ncr:1_{40CA8817-CC33-4EA2-8A6B-7A15BBB82066}" xr6:coauthVersionLast="47" xr6:coauthVersionMax="47" xr10:uidLastSave="{00000000-0000-0000-0000-000000000000}"/>
  <bookViews>
    <workbookView xWindow="-110" yWindow="-110" windowWidth="19420" windowHeight="10300" activeTab="1" xr2:uid="{2537BAD8-6FAD-41A0-8221-A76455A4F9EC}"/>
  </bookViews>
  <sheets>
    <sheet name="Sheet3" sheetId="3" r:id="rId1"/>
    <sheet name="Software Subscription Logs" sheetId="2" r:id="rId2"/>
  </sheets>
  <definedNames>
    <definedName name="_xlnm._FilterDatabase" localSheetId="1" hidden="1">'Software Subscription Logs'!#REF!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 a="1"/>
  <c r="K12" i="2"/>
  <c r="L6" i="2" a="1"/>
  <c r="L6" i="2" s="1"/>
  <c r="H3" i="2" a="1"/>
  <c r="H3" i="2" s="1"/>
  <c r="M13" i="2" s="1" a="1"/>
  <c r="M13" i="2" s="1"/>
  <c r="H4" i="2" a="1"/>
  <c r="H4" i="2"/>
  <c r="M6" i="2" s="1" a="1"/>
  <c r="M6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2" i="2" a="1"/>
  <c r="H2" i="2" s="1"/>
  <c r="M3" i="2" s="1" a="1"/>
  <c r="M3" i="2" s="1"/>
  <c r="K10" i="2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1" i="2" a="1"/>
  <c r="K11" i="2" s="1"/>
  <c r="K13" i="2" a="1"/>
  <c r="K13" i="2" s="1"/>
  <c r="K2" i="2" a="1"/>
  <c r="K2" i="2" s="1"/>
  <c r="J2" i="2" a="1"/>
  <c r="J2" i="2" s="1"/>
  <c r="J3" i="2" s="1" a="1"/>
  <c r="J3" i="2" s="1"/>
  <c r="I2" i="2" a="1"/>
  <c r="I2" i="2" s="1"/>
  <c r="M12" i="2" l="1" a="1"/>
  <c r="M12" i="2" s="1"/>
  <c r="L10" i="2" a="1"/>
  <c r="L10" i="2" s="1"/>
  <c r="L5" i="2" a="1"/>
  <c r="L5" i="2" s="1"/>
  <c r="M11" i="2" a="1"/>
  <c r="M11" i="2" s="1"/>
  <c r="M7" i="2" a="1"/>
  <c r="M7" i="2" s="1"/>
  <c r="L2" i="2" a="1"/>
  <c r="L2" i="2" s="1"/>
  <c r="L4" i="2" a="1"/>
  <c r="L4" i="2" s="1"/>
  <c r="M10" i="2" a="1"/>
  <c r="M10" i="2" s="1"/>
  <c r="M5" i="2" a="1"/>
  <c r="M5" i="2" s="1"/>
  <c r="L11" i="2" a="1"/>
  <c r="L11" i="2" s="1"/>
  <c r="M2" i="2" a="1"/>
  <c r="M2" i="2" s="1"/>
  <c r="L9" i="2" a="1"/>
  <c r="L9" i="2" s="1"/>
  <c r="M4" i="2" a="1"/>
  <c r="M4" i="2" s="1"/>
  <c r="L8" i="2" a="1"/>
  <c r="L8" i="2" s="1"/>
  <c r="L3" i="2" a="1"/>
  <c r="L3" i="2" s="1"/>
  <c r="M9" i="2" a="1"/>
  <c r="M9" i="2" s="1"/>
  <c r="L13" i="2" a="1"/>
  <c r="L13" i="2" s="1"/>
  <c r="M8" i="2" a="1"/>
  <c r="M8" i="2" s="1"/>
  <c r="L12" i="2" a="1"/>
  <c r="L12" i="2" s="1"/>
  <c r="L7" i="2" a="1"/>
  <c r="L7" i="2" s="1"/>
  <c r="N2" i="2"/>
  <c r="N14" i="2"/>
  <c r="N9" i="2"/>
  <c r="N8" i="2"/>
  <c r="N6" i="2"/>
  <c r="N13" i="2"/>
  <c r="N5" i="2"/>
  <c r="N7" i="2"/>
  <c r="N12" i="2"/>
  <c r="N11" i="2"/>
  <c r="N10" i="2"/>
  <c r="J4" i="2" a="1"/>
  <c r="J4" i="2" s="1"/>
  <c r="I3" i="2" a="1"/>
  <c r="I3" i="2" s="1"/>
  <c r="N3" i="2" l="1"/>
  <c r="J5" i="2" a="1"/>
  <c r="J5" i="2" s="1"/>
  <c r="I4" i="2" a="1"/>
  <c r="I4" i="2" s="1"/>
  <c r="I5" i="2" l="1" a="1"/>
  <c r="I5" i="2" s="1"/>
  <c r="N4" i="2"/>
  <c r="J6" i="2" a="1"/>
  <c r="J6" i="2" s="1"/>
  <c r="I6" i="2" l="1" a="1"/>
  <c r="I6" i="2" s="1"/>
  <c r="I7" i="2" s="1"/>
  <c r="J7" i="2" a="1"/>
  <c r="J7" i="2" s="1"/>
  <c r="J8" i="2" s="1" a="1"/>
  <c r="J8" i="2" s="1"/>
  <c r="J9" i="2" l="1" a="1"/>
  <c r="J9" i="2" s="1"/>
  <c r="J10" i="2" s="1" a="1"/>
  <c r="J10" i="2" s="1"/>
  <c r="J11" i="2" s="1" a="1"/>
  <c r="J11" i="2" s="1"/>
  <c r="J12" i="2" s="1" a="1"/>
  <c r="J12" i="2" s="1"/>
  <c r="I8" i="2" a="1"/>
  <c r="I8" i="2" s="1"/>
  <c r="I9" i="2" l="1"/>
  <c r="I10" i="2" s="1" a="1"/>
  <c r="I10" i="2" s="1"/>
  <c r="I11" i="2" l="1" a="1"/>
  <c r="I11" i="2" s="1"/>
  <c r="I12" i="2" l="1" a="1"/>
  <c r="I12" i="2" s="1"/>
  <c r="I13" i="2" s="1" a="1"/>
  <c r="I13" i="2" s="1"/>
  <c r="I14" i="2" l="1" a="1"/>
  <c r="I14" i="2" s="1"/>
  <c r="I15" i="2" s="1" a="1"/>
  <c r="I15" i="2" s="1"/>
  <c r="I16" i="2" l="1" a="1"/>
  <c r="I16" i="2" s="1"/>
  <c r="I17" i="2" l="1" a="1"/>
  <c r="I17" i="2" s="1"/>
  <c r="I18" i="2" l="1" a="1"/>
  <c r="I18" i="2" s="1"/>
  <c r="I19" i="2" l="1" a="1"/>
  <c r="I19" i="2" s="1"/>
  <c r="I20" i="2" l="1" a="1"/>
  <c r="I20" i="2" s="1"/>
</calcChain>
</file>

<file path=xl/sharedStrings.xml><?xml version="1.0" encoding="utf-8"?>
<sst xmlns="http://schemas.openxmlformats.org/spreadsheetml/2006/main" count="84" uniqueCount="51">
  <si>
    <t>Subscription_ID</t>
  </si>
  <si>
    <t>Customer_Name</t>
  </si>
  <si>
    <t>Plan_Tier</t>
  </si>
  <si>
    <t>Region</t>
  </si>
  <si>
    <t>MRR_Amount</t>
  </si>
  <si>
    <t>Status</t>
  </si>
  <si>
    <t>Contract_Months</t>
  </si>
  <si>
    <t>SUB-1001</t>
  </si>
  <si>
    <t>Alpha Corp</t>
  </si>
  <si>
    <t>Enterprise</t>
  </si>
  <si>
    <t>North</t>
  </si>
  <si>
    <t>Active</t>
  </si>
  <si>
    <t>SUB-1002</t>
  </si>
  <si>
    <t>Beta LLC</t>
  </si>
  <si>
    <t>Starter</t>
  </si>
  <si>
    <t>South</t>
  </si>
  <si>
    <t>SUB-1003</t>
  </si>
  <si>
    <t>Gamma Inc</t>
  </si>
  <si>
    <t>Professional</t>
  </si>
  <si>
    <t>East</t>
  </si>
  <si>
    <t>Cancelled</t>
  </si>
  <si>
    <t>SUB-1004</t>
  </si>
  <si>
    <t>Delta Co</t>
  </si>
  <si>
    <t>West</t>
  </si>
  <si>
    <t>SUB-1005</t>
  </si>
  <si>
    <t>Epsilon Ltd</t>
  </si>
  <si>
    <t>Paused</t>
  </si>
  <si>
    <t>SUB-1006</t>
  </si>
  <si>
    <t>Zeta Group</t>
  </si>
  <si>
    <t>SUB-1007</t>
  </si>
  <si>
    <t>Eta Systems</t>
  </si>
  <si>
    <t>SUB-1008</t>
  </si>
  <si>
    <t>Theta Partners</t>
  </si>
  <si>
    <t>SUB-1009</t>
  </si>
  <si>
    <t>Iota Tech</t>
  </si>
  <si>
    <t>SUB-1010</t>
  </si>
  <si>
    <t>Kappa Media</t>
  </si>
  <si>
    <t>SUB-1011</t>
  </si>
  <si>
    <t>Lambda Solutions</t>
  </si>
  <si>
    <t>SUB-1012</t>
  </si>
  <si>
    <t>Mu Enterprises</t>
  </si>
  <si>
    <t>Unique Plant List</t>
  </si>
  <si>
    <t>phone</t>
  </si>
  <si>
    <t>Unique Active Regions</t>
  </si>
  <si>
    <t>Row Labels</t>
  </si>
  <si>
    <t>Grand Total</t>
  </si>
  <si>
    <t>Multi Criteria Filter</t>
  </si>
  <si>
    <t>Helper column</t>
  </si>
  <si>
    <t>Customer Name</t>
  </si>
  <si>
    <t>Dynamic Metric Aggregation</t>
  </si>
  <si>
    <t>Dynamic Ranking via Multi-Level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</si>
</sst>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0" xfId="0" applyFont="1" applyFill="1" applyBorder="1"/>
    <xf numFmtId="0" fontId="1" fillId="2" borderId="2" xfId="0" applyFont="1" applyFill="1" applyBorder="1"/>
    <xf numFmtId="0" fontId="0" fillId="0" borderId="3" xfId="0" applyFont="1" applyBorder="1"/>
    <xf numFmtId="0" fontId="0" fillId="3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2" fillId="4" borderId="0" xfId="0" applyFont="1" applyFill="1"/>
    <xf numFmtId="1" fontId="1" fillId="5" borderId="0" xfId="0" applyNumberFormat="1" applyFont="1" applyFill="1" applyBorder="1"/>
    <xf numFmtId="0" fontId="1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i Guntur" refreshedDate="46307.969801851854" createdVersion="8" refreshedVersion="8" minRefreshableVersion="3" recordCount="12" xr:uid="{625E0510-DC12-4812-8CBE-EE5022D583D2}">
  <cacheSource type="worksheet">
    <worksheetSource ref="A1:G13" sheet="Software Subscription Logs"/>
  </cacheSource>
  <cacheFields count="7">
    <cacheField name="Subscription_ID" numFmtId="0">
      <sharedItems/>
    </cacheField>
    <cacheField name="Customer_Name" numFmtId="0">
      <sharedItems/>
    </cacheField>
    <cacheField name="Plan_Tier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MRR_Amount" numFmtId="0">
      <sharedItems containsSemiMixedTypes="0" containsString="0" containsNumber="1" containsInteger="1" minValue="120" maxValue="4100"/>
    </cacheField>
    <cacheField name="Status" numFmtId="0">
      <sharedItems count="3">
        <s v="Active"/>
        <s v="Cancelled"/>
        <s v="Paused"/>
      </sharedItems>
    </cacheField>
    <cacheField name="Contract_Months" numFmtId="0">
      <sharedItems containsSemiMixedTypes="0" containsString="0" containsNumber="1" containsInteger="1" minValue="6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UB-1001"/>
    <s v="Alpha Corp"/>
    <s v="Enterprise"/>
    <x v="0"/>
    <n v="2500"/>
    <x v="0"/>
    <n v="24"/>
  </r>
  <r>
    <s v="SUB-1002"/>
    <s v="Beta LLC"/>
    <s v="Starter"/>
    <x v="1"/>
    <n v="150"/>
    <x v="0"/>
    <n v="12"/>
  </r>
  <r>
    <s v="SUB-1003"/>
    <s v="Gamma Inc"/>
    <s v="Professional"/>
    <x v="2"/>
    <n v="800"/>
    <x v="1"/>
    <n v="6"/>
  </r>
  <r>
    <s v="SUB-1004"/>
    <s v="Delta Co"/>
    <s v="Enterprise"/>
    <x v="3"/>
    <n v="3200"/>
    <x v="0"/>
    <n v="36"/>
  </r>
  <r>
    <s v="SUB-1005"/>
    <s v="Epsilon Ltd"/>
    <s v="Starter"/>
    <x v="0"/>
    <n v="150"/>
    <x v="2"/>
    <n v="12"/>
  </r>
  <r>
    <s v="SUB-1006"/>
    <s v="Zeta Group"/>
    <s v="Professional"/>
    <x v="1"/>
    <n v="950"/>
    <x v="0"/>
    <n v="18"/>
  </r>
  <r>
    <s v="SUB-1007"/>
    <s v="Eta Systems"/>
    <s v="Enterprise"/>
    <x v="2"/>
    <n v="2800"/>
    <x v="0"/>
    <n v="12"/>
  </r>
  <r>
    <s v="SUB-1008"/>
    <s v="Theta Partners"/>
    <s v="Starter"/>
    <x v="3"/>
    <n v="120"/>
    <x v="1"/>
    <n v="6"/>
  </r>
  <r>
    <s v="SUB-1009"/>
    <s v="Iota Tech"/>
    <s v="Professional"/>
    <x v="0"/>
    <n v="850"/>
    <x v="0"/>
    <n v="24"/>
  </r>
  <r>
    <s v="SUB-1010"/>
    <s v="Kappa Media"/>
    <s v="Enterprise"/>
    <x v="1"/>
    <n v="4100"/>
    <x v="0"/>
    <n v="36"/>
  </r>
  <r>
    <s v="SUB-1011"/>
    <s v="Lambda Solutions"/>
    <s v="Starter"/>
    <x v="2"/>
    <n v="150"/>
    <x v="0"/>
    <n v="12"/>
  </r>
  <r>
    <s v="SUB-1012"/>
    <s v="Mu Enterprises"/>
    <s v="Professional"/>
    <x v="3"/>
    <n v="900"/>
    <x v="2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C52FF-0079-4945-BAE8-C91A5E1D11A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" firstHeaderRow="1" firstDataRow="1" firstDataCol="1" rowPageCount="1" colPageCount="1"/>
  <pivotFields count="7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C199-E2AB-4F3D-AB78-FCE7C15B3C29}">
  <dimension ref="A1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8.08984375" bestFit="1" customWidth="1"/>
  </cols>
  <sheetData>
    <row r="1" spans="1:2" x14ac:dyDescent="0.35">
      <c r="A1" s="7" t="s">
        <v>5</v>
      </c>
      <c r="B1" t="s">
        <v>11</v>
      </c>
    </row>
    <row r="3" spans="1:2" x14ac:dyDescent="0.35">
      <c r="A3" s="7" t="s">
        <v>44</v>
      </c>
    </row>
    <row r="4" spans="1:2" x14ac:dyDescent="0.35">
      <c r="A4" s="8" t="s">
        <v>19</v>
      </c>
    </row>
    <row r="5" spans="1:2" x14ac:dyDescent="0.35">
      <c r="A5" s="8" t="s">
        <v>10</v>
      </c>
    </row>
    <row r="6" spans="1:2" x14ac:dyDescent="0.35">
      <c r="A6" s="8" t="s">
        <v>15</v>
      </c>
    </row>
    <row r="7" spans="1:2" x14ac:dyDescent="0.35">
      <c r="A7" s="8" t="s">
        <v>23</v>
      </c>
    </row>
    <row r="8" spans="1:2" x14ac:dyDescent="0.35">
      <c r="A8" s="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ACC6-4E02-43C1-B3D8-9A101553A930}">
  <dimension ref="A1:O20"/>
  <sheetViews>
    <sheetView tabSelected="1" workbookViewId="0">
      <selection activeCell="G15" sqref="G15"/>
    </sheetView>
  </sheetViews>
  <sheetFormatPr defaultRowHeight="14.5" x14ac:dyDescent="0.35"/>
  <cols>
    <col min="1" max="1" width="14.08984375" bestFit="1" customWidth="1"/>
    <col min="2" max="2" width="15.6328125" bestFit="1" customWidth="1"/>
    <col min="3" max="3" width="11" bestFit="1" customWidth="1"/>
    <col min="4" max="4" width="6.453125" bestFit="1" customWidth="1"/>
    <col min="5" max="5" width="12.54296875" bestFit="1" customWidth="1"/>
    <col min="6" max="6" width="8.81640625" bestFit="1" customWidth="1"/>
    <col min="7" max="7" width="15.7265625" bestFit="1" customWidth="1"/>
    <col min="8" max="8" width="15.81640625" style="9" customWidth="1"/>
    <col min="9" max="9" width="16.54296875" customWidth="1"/>
    <col min="10" max="10" width="17.81640625" customWidth="1"/>
    <col min="11" max="11" width="36.08984375" customWidth="1"/>
    <col min="12" max="12" width="15.26953125" customWidth="1"/>
    <col min="13" max="13" width="13.6328125" style="9" customWidth="1"/>
    <col min="14" max="14" width="18.26953125" customWidth="1"/>
    <col min="15" max="15" width="31.81640625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13" t="s">
        <v>47</v>
      </c>
      <c r="I1" s="14" t="s">
        <v>41</v>
      </c>
      <c r="J1" s="14" t="s">
        <v>43</v>
      </c>
      <c r="K1" s="14" t="s">
        <v>46</v>
      </c>
      <c r="L1" s="14" t="s">
        <v>48</v>
      </c>
      <c r="M1" s="13" t="s">
        <v>4</v>
      </c>
      <c r="N1" s="14" t="s">
        <v>49</v>
      </c>
      <c r="O1" s="14" t="s">
        <v>50</v>
      </c>
    </row>
    <row r="2" spans="1:15" x14ac:dyDescent="0.35">
      <c r="A2" s="2" t="s">
        <v>35</v>
      </c>
      <c r="B2" s="2" t="s">
        <v>36</v>
      </c>
      <c r="C2" s="2" t="s">
        <v>9</v>
      </c>
      <c r="D2" s="2" t="s">
        <v>15</v>
      </c>
      <c r="E2" s="2">
        <v>4100</v>
      </c>
      <c r="F2" s="2" t="s">
        <v>11</v>
      </c>
      <c r="G2" s="2">
        <v>36</v>
      </c>
      <c r="H2" s="10">
        <f t="array" ref="H2">IF(F2="Active", E2 + (ROW()/100000), 0)</f>
        <v>4100.0000200000004</v>
      </c>
      <c r="I2" s="11" t="str">
        <f t="array" ref="I2">IFERROR(INDEX($C$2:$C$13, MATCH(0, COUNTIF($I$1:I1, $C$2:$C$13), 0)), "")</f>
        <v>Enterprise</v>
      </c>
      <c r="J2" s="11" t="str">
        <f t="array" ref="J2">IFERROR(INDEX($D$2:$D$13, MATCH(0, IF($F$2:$F$13="Active", COUNTIF($J$1:J1, $D$2:$D$13), 1), 0)), "")</f>
        <v>South</v>
      </c>
      <c r="K2" s="12" t="str">
        <f t="array" ref="K2">IFERROR(INDEX(A$2:A$13, SMALL(IF((($C$2:$C$13="Enterprise")+($C$2:$C$13="Professional"))*($F$2:$F$13="Active")*($E$2:$E$13&gt;=850), ROW($A$2:$A$13)-ROW($A$2)+1), ROW(A1))), "")</f>
        <v>SUB-1010</v>
      </c>
      <c r="L2" s="11" t="str">
        <f t="array" ref="L2">IFERROR(INDEX($B$2:$B$13, MATCH(LARGE($H$2:$H$13, ROW(A1)), $H$2:$H$13, 0)), "")</f>
        <v>Kappa Media</v>
      </c>
      <c r="M2" s="10">
        <f t="array" ref="M2">IFERROR(LARGE($H$2:$H$13, ROW(A1)), "")</f>
        <v>4100.0000200000004</v>
      </c>
      <c r="N2">
        <f t="array" ref="N2:N14">SUMIFS($E$2:$E$13, $C$2:$C$13, I2:I4)</f>
        <v>12600</v>
      </c>
    </row>
    <row r="3" spans="1:15" x14ac:dyDescent="0.35">
      <c r="A3" s="2" t="s">
        <v>21</v>
      </c>
      <c r="B3" s="2" t="s">
        <v>22</v>
      </c>
      <c r="C3" s="2" t="s">
        <v>9</v>
      </c>
      <c r="D3" s="2" t="s">
        <v>23</v>
      </c>
      <c r="E3" s="2">
        <v>3200</v>
      </c>
      <c r="F3" s="2" t="s">
        <v>11</v>
      </c>
      <c r="G3" s="2">
        <v>36</v>
      </c>
      <c r="H3" s="10">
        <f t="array" ref="H3">IF(F3="Active", E3 + (ROW()/100000), 0)</f>
        <v>3200.0000300000002</v>
      </c>
      <c r="I3" s="11" t="str">
        <f t="array" ref="I3">IFERROR(INDEX($C$2:$C$13, MATCH(0, COUNTIF($I$1:I2, $C$2:$C$13), 0)), "")</f>
        <v>Professional</v>
      </c>
      <c r="J3" s="11" t="str">
        <f t="array" ref="J3">IFERROR(INDEX($D$2:$D$13, MATCH(0, IF($F$2:$F$13="Active", COUNTIF($J$1:J2, $D$2:$D$13), 1), 0)), "")</f>
        <v>West</v>
      </c>
      <c r="K3" s="12" t="str">
        <f t="array" ref="K3">IFERROR(INDEX(A$2:A$13, SMALL(IF((($C$2:$C$13="Enterprise")+($C$2:$C$13="Professional"))*($F$2:$F$13="Active")*($E$2:$E$13&gt;=850), ROW($A$2:$A$13)-ROW($A$2)+1), ROW(A2))), "")</f>
        <v>SUB-1004</v>
      </c>
      <c r="L3" s="11" t="str">
        <f t="array" ref="L3">IFERROR(INDEX($B$2:$B$13, MATCH(LARGE($H$2:$H$13, ROW(A2)), $H$2:$H$13, 0)), "")</f>
        <v>Delta Co</v>
      </c>
      <c r="M3" s="10">
        <f t="array" ref="M3">IFERROR(LARGE($H$2:$H$13, ROW(A2)), "")</f>
        <v>3200.0000300000002</v>
      </c>
      <c r="N3">
        <v>3500</v>
      </c>
    </row>
    <row r="4" spans="1:15" x14ac:dyDescent="0.35">
      <c r="A4" s="1" t="s">
        <v>7</v>
      </c>
      <c r="B4" s="1" t="s">
        <v>8</v>
      </c>
      <c r="C4" s="1" t="s">
        <v>9</v>
      </c>
      <c r="D4" s="1" t="s">
        <v>10</v>
      </c>
      <c r="E4" s="1">
        <v>2500</v>
      </c>
      <c r="F4" s="1" t="s">
        <v>11</v>
      </c>
      <c r="G4" s="1">
        <v>24</v>
      </c>
      <c r="H4" s="10">
        <f t="array" ref="H4">IF(F4="Active", E4 + (ROW()/100000), 0)</f>
        <v>2500.0000399999999</v>
      </c>
      <c r="I4" s="11" t="str">
        <f t="array" ref="I4">IFERROR(INDEX($C$2:$C$13, MATCH(0, COUNTIF($I$1:I3, $C$2:$C$13), 0)), "")</f>
        <v>Starter</v>
      </c>
      <c r="J4" s="11" t="str">
        <f t="array" ref="J4">IFERROR(INDEX($D$2:$D$13, MATCH(0, IF($F$2:$F$13="Active", COUNTIF($J$1:J3, $D$2:$D$13), 1), 0)), "")</f>
        <v>North</v>
      </c>
      <c r="K4" s="12" t="str">
        <f t="array" ref="K4">IFERROR(INDEX(A$2:A$13, SMALL(IF((($C$2:$C$13="Enterprise")+($C$2:$C$13="Professional"))*($F$2:$F$13="Active")*($E$2:$E$13&gt;=850), ROW($A$2:$A$13)-ROW($A$2)+1), ROW(A3))), "")</f>
        <v>SUB-1001</v>
      </c>
      <c r="L4" s="11" t="str">
        <f t="array" ref="L4">IFERROR(INDEX($B$2:$B$13, MATCH(LARGE($H$2:$H$13, ROW(A3)), $H$2:$H$13, 0)), "")</f>
        <v>Eta Systems</v>
      </c>
      <c r="M4" s="10">
        <f t="array" ref="M4">IFERROR(LARGE($H$2:$H$13, ROW(A3)), "")</f>
        <v>2800.0000799999998</v>
      </c>
      <c r="N4">
        <v>570</v>
      </c>
    </row>
    <row r="5" spans="1:15" x14ac:dyDescent="0.35">
      <c r="A5" s="1" t="s">
        <v>33</v>
      </c>
      <c r="B5" s="1" t="s">
        <v>34</v>
      </c>
      <c r="C5" s="1" t="s">
        <v>18</v>
      </c>
      <c r="D5" s="1" t="s">
        <v>10</v>
      </c>
      <c r="E5" s="1">
        <v>850</v>
      </c>
      <c r="F5" s="1" t="s">
        <v>11</v>
      </c>
      <c r="G5" s="1">
        <v>24</v>
      </c>
      <c r="H5" s="10">
        <f t="array" ref="H5">IF(F5="Active", E5 + (ROW()/100000), 0)</f>
        <v>850.00004999999999</v>
      </c>
      <c r="I5" s="11" t="str">
        <f t="array" ref="I5">IFERROR(INDEX($C$2:$C$13, MATCH(0, COUNTIF($I$1:I4, $C$2:$C$13), 0)), "")</f>
        <v/>
      </c>
      <c r="J5" s="11" t="str">
        <f t="array" ref="J5">IFERROR(INDEX($D$2:$D$13, MATCH(0, IF($F$2:$F$13="Active", COUNTIF($J$1:J4, $D$2:$D$13), 1), 0)), "")</f>
        <v>East</v>
      </c>
      <c r="K5" s="12" t="str">
        <f t="array" ref="K5">IFERROR(INDEX(A$2:A$13, SMALL(IF((($C$2:$C$13="Enterprise")+($C$2:$C$13="Professional"))*($F$2:$F$13="Active")*($E$2:$E$13&gt;=850), ROW($A$2:$A$13)-ROW($A$2)+1), ROW(A4))), "")</f>
        <v>SUB-1009</v>
      </c>
      <c r="L5" s="11" t="str">
        <f t="array" ref="L5">IFERROR(INDEX($B$2:$B$13, MATCH(LARGE($H$2:$H$13, ROW(A4)), $H$2:$H$13, 0)), "")</f>
        <v>Alpha Corp</v>
      </c>
      <c r="M5" s="10">
        <f t="array" ref="M5">IFERROR(LARGE($H$2:$H$13, ROW(A4)), "")</f>
        <v>2500.0000399999999</v>
      </c>
      <c r="N5">
        <v>0</v>
      </c>
    </row>
    <row r="6" spans="1:15" x14ac:dyDescent="0.35">
      <c r="A6" s="2" t="s">
        <v>27</v>
      </c>
      <c r="B6" s="2" t="s">
        <v>28</v>
      </c>
      <c r="C6" s="2" t="s">
        <v>18</v>
      </c>
      <c r="D6" s="2" t="s">
        <v>15</v>
      </c>
      <c r="E6" s="2">
        <v>950</v>
      </c>
      <c r="F6" s="2" t="s">
        <v>11</v>
      </c>
      <c r="G6" s="2">
        <v>18</v>
      </c>
      <c r="H6" s="10">
        <f t="array" ref="H6">IF(F6="Active", E6 + (ROW()/100000), 0)</f>
        <v>950.00005999999996</v>
      </c>
      <c r="I6" s="11" t="str">
        <f t="array" ref="I6">IFERROR(INDEX($C$2:$C$13, MATCH(0, COUNTIF($I$1:I5, $C$2:$C$13), 0)), "")</f>
        <v/>
      </c>
      <c r="J6" s="11" t="str">
        <f t="array" ref="J6">IFERROR(INDEX($D$2:$D$13, MATCH(0, IF($F$2:$F$13="Active", COUNTIF($J$1:J5, $D$2:$D$13), 1), 0)), "")</f>
        <v/>
      </c>
      <c r="K6" s="12" t="str">
        <f t="array" ref="K6">IFERROR(INDEX(A$2:A$13, SMALL(IF((($C$2:$C$13="Enterprise")+($C$2:$C$13="Professional"))*($F$2:$F$13="Active")*($E$2:$E$13&gt;=850), ROW($A$2:$A$13)-ROW($A$2)+1), ROW(A5))), "")</f>
        <v>SUB-1006</v>
      </c>
      <c r="L6" s="11" t="str">
        <f t="array" ref="L6">IFERROR(INDEX($B$2:$B$13, MATCH(LARGE($H$2:$H$13, ROW(A5)), $H$2:$H$13, 0)), "")</f>
        <v>Zeta Group</v>
      </c>
      <c r="M6" s="10">
        <f t="array" ref="M6">IFERROR(LARGE($H$2:$H$13, ROW(A5)), "")</f>
        <v>950.00005999999996</v>
      </c>
      <c r="N6">
        <v>0</v>
      </c>
    </row>
    <row r="7" spans="1:15" x14ac:dyDescent="0.35">
      <c r="A7" s="2" t="s">
        <v>39</v>
      </c>
      <c r="B7" s="2" t="s">
        <v>40</v>
      </c>
      <c r="C7" s="2" t="s">
        <v>18</v>
      </c>
      <c r="D7" s="2" t="s">
        <v>23</v>
      </c>
      <c r="E7" s="2">
        <v>900</v>
      </c>
      <c r="F7" s="2" t="s">
        <v>26</v>
      </c>
      <c r="G7" s="2">
        <v>18</v>
      </c>
      <c r="H7" s="10">
        <f t="array" ref="H7">IF(F7="Active", E7 + (ROW()/100000), 0)</f>
        <v>0</v>
      </c>
      <c r="I7" s="11" t="str">
        <f>IFERROR(INDEX($C$2:$C$13, MATCH(0, COUNTIF($I$1:I6, $C$2:$C$13), 0)), "")</f>
        <v/>
      </c>
      <c r="J7" s="11" t="str">
        <f t="array" ref="J7">IFERROR(INDEX($D$2:$D$13, MATCH(0, IF($F$2:$F$13="Active", COUNTIF($J$1:J6, $D$2:$D$13), 1), 0)), "")</f>
        <v/>
      </c>
      <c r="K7" s="12" t="str">
        <f t="array" ref="K7">IFERROR(INDEX(A$2:A$13, SMALL(IF((($C$2:$C$13="Enterprise")+($C$2:$C$13="Professional"))*($F$2:$F$13="Active")*($E$2:$E$13&gt;=850), ROW($A$2:$A$13)-ROW($A$2)+1), ROW(A6))), "")</f>
        <v>SUB-1007</v>
      </c>
      <c r="L7" s="11" t="str">
        <f t="array" ref="L7">IFERROR(INDEX($B$2:$B$13, MATCH(LARGE($H$2:$H$13, ROW(A6)), $H$2:$H$13, 0)), "")</f>
        <v>Iota Tech</v>
      </c>
      <c r="M7" s="10">
        <f t="array" ref="M7">IFERROR(LARGE($H$2:$H$13, ROW(A6)), "")</f>
        <v>850.00004999999999</v>
      </c>
      <c r="N7">
        <v>0</v>
      </c>
    </row>
    <row r="8" spans="1:15" x14ac:dyDescent="0.35">
      <c r="A8" s="1" t="s">
        <v>29</v>
      </c>
      <c r="B8" s="1" t="s">
        <v>30</v>
      </c>
      <c r="C8" s="1" t="s">
        <v>9</v>
      </c>
      <c r="D8" s="1" t="s">
        <v>19</v>
      </c>
      <c r="E8" s="1">
        <v>2800</v>
      </c>
      <c r="F8" s="1" t="s">
        <v>11</v>
      </c>
      <c r="G8" s="1">
        <v>12</v>
      </c>
      <c r="H8" s="10">
        <f t="array" ref="H8">IF(F8="Active", E8 + (ROW()/100000), 0)</f>
        <v>2800.0000799999998</v>
      </c>
      <c r="I8" s="11" t="str">
        <f t="array" ref="I8">IFERROR(INDEX($C$2:$C$13, MATCH(0, COUNTIF($I$1:I7, $C$2:$C$13), 0)), "")</f>
        <v/>
      </c>
      <c r="J8" s="11" t="str">
        <f t="array" ref="J8">IFERROR(INDEX($D$2:$D$13, MATCH(0, IF($F$2:$F$13="Active", COUNTIF($J$1:J7, $D$2:$D$13), 1), 0)), "")</f>
        <v/>
      </c>
      <c r="K8" s="12" t="str">
        <f t="array" ref="K8">IFERROR(INDEX(A$2:A$13, SMALL(IF((($C$2:$C$13="Enterprise")+($C$2:$C$13="Professional"))*($F$2:$F$13="Active")*($E$2:$E$13&gt;=850), ROW($A$2:$A$13)-ROW($A$2)+1), ROW(A7))), "")</f>
        <v/>
      </c>
      <c r="L8" s="11" t="str">
        <f t="array" ref="L8">IFERROR(INDEX($B$2:$B$13, MATCH(LARGE($H$2:$H$13, ROW(A7)), $H$2:$H$13, 0)), "")</f>
        <v>Lambda Solutions</v>
      </c>
      <c r="M8" s="10">
        <f t="array" ref="M8">IFERROR(LARGE($H$2:$H$13, ROW(A7)), "")</f>
        <v>150.00011000000001</v>
      </c>
      <c r="N8">
        <v>0</v>
      </c>
    </row>
    <row r="9" spans="1:15" x14ac:dyDescent="0.35">
      <c r="A9" s="2" t="s">
        <v>12</v>
      </c>
      <c r="B9" s="2" t="s">
        <v>13</v>
      </c>
      <c r="C9" s="2" t="s">
        <v>14</v>
      </c>
      <c r="D9" s="2" t="s">
        <v>15</v>
      </c>
      <c r="E9" s="2">
        <v>150</v>
      </c>
      <c r="F9" s="2" t="s">
        <v>11</v>
      </c>
      <c r="G9" s="2">
        <v>12</v>
      </c>
      <c r="H9" s="10">
        <f t="array" ref="H9">IF(F9="Active", E9 + (ROW()/100000), 0)</f>
        <v>150.00009</v>
      </c>
      <c r="I9" s="11" t="str">
        <f>IFERROR(INDEX($C$2:$C$13, MATCH(0, COUNTIF($I$1:I8, $C$2:$C$13), 0)), "")</f>
        <v/>
      </c>
      <c r="J9" s="11" t="str">
        <f t="array" ref="J9">IFERROR(INDEX($D$2:$D$13, MATCH(0, IF($F$2:$F$13="Active", COUNTIF($J$1:J8, $D$2:$D$13), 1), 0)), "")</f>
        <v/>
      </c>
      <c r="K9" s="12" t="str">
        <f t="array" ref="K9">IFERROR(INDEX(A$2:A$13, SMALL(IF((($C$2:$C$13="Enterprise")+($C$2:$C$13="Professional"))*($F$2:$F$13="Active")*($E$2:$E$13&gt;=850), ROW($A$2:$A$13)-ROW($A$2)+1), ROW(A8))), "")</f>
        <v/>
      </c>
      <c r="L9" s="11" t="str">
        <f t="array" ref="L9">IFERROR(INDEX($B$2:$B$13, MATCH(LARGE($H$2:$H$13, ROW(A8)), $H$2:$H$13, 0)), "")</f>
        <v>Beta LLC</v>
      </c>
      <c r="M9" s="10">
        <f t="array" ref="M9">IFERROR(LARGE($H$2:$H$13, ROW(A8)), "")</f>
        <v>150.00009</v>
      </c>
      <c r="N9">
        <v>0</v>
      </c>
    </row>
    <row r="10" spans="1:15" x14ac:dyDescent="0.35">
      <c r="A10" s="1" t="s">
        <v>24</v>
      </c>
      <c r="B10" s="1" t="s">
        <v>25</v>
      </c>
      <c r="C10" s="1" t="s">
        <v>14</v>
      </c>
      <c r="D10" s="1" t="s">
        <v>10</v>
      </c>
      <c r="E10" s="1">
        <v>150</v>
      </c>
      <c r="F10" s="1" t="s">
        <v>26</v>
      </c>
      <c r="G10" s="1">
        <v>12</v>
      </c>
      <c r="H10" s="10">
        <f t="array" ref="H10">IF(F10="Active", E10 + (ROW()/100000), 0)</f>
        <v>0</v>
      </c>
      <c r="I10" s="11" t="str">
        <f t="array" ref="I10">IFERROR(INDEX($C$2:$C$13, MATCH(0, COUNTIF($I$1:I9, $C$2:$C$13), 0)), "")</f>
        <v/>
      </c>
      <c r="J10" s="11" t="str">
        <f t="array" ref="J10">IFERROR(INDEX($D$2:$D$13, MATCH(0, IF($F$2:$F$13="Active", COUNTIF($J$1:J9, $D$2:$D$13), 1), 0)), "")</f>
        <v/>
      </c>
      <c r="K10" s="12" t="str">
        <f>IFERROR(INDEX(A$2:A$13, SMALL(IF((($C$2:$C$13="Enterprise")+($C$2:$C$13="Professional"))*($F$2:$F$13="Active")*($E$2:$E$13&gt;=850), ROW($A$2:$A$13)-ROW($A$2)+1), ROW(A9))), "")</f>
        <v/>
      </c>
      <c r="L10" s="11" t="str">
        <f t="array" ref="L10">IFERROR(INDEX($B$2:$B$13, MATCH(LARGE($H$2:$H$13, ROW(A9)), $H$2:$H$13, 0)), "")</f>
        <v>Mu Enterprises</v>
      </c>
      <c r="M10" s="10">
        <f t="array" ref="M10">IFERROR(LARGE($H$2:$H$13, ROW(A9)), "")</f>
        <v>0</v>
      </c>
      <c r="N10">
        <v>0</v>
      </c>
    </row>
    <row r="11" spans="1:15" x14ac:dyDescent="0.35">
      <c r="A11" s="1" t="s">
        <v>37</v>
      </c>
      <c r="B11" s="1" t="s">
        <v>38</v>
      </c>
      <c r="C11" s="1" t="s">
        <v>14</v>
      </c>
      <c r="D11" s="1" t="s">
        <v>19</v>
      </c>
      <c r="E11" s="1">
        <v>150</v>
      </c>
      <c r="F11" s="1" t="s">
        <v>11</v>
      </c>
      <c r="G11" s="1">
        <v>12</v>
      </c>
      <c r="H11" s="10">
        <f t="array" ref="H11">IF(F11="Active", E11 + (ROW()/100000), 0)</f>
        <v>150.00011000000001</v>
      </c>
      <c r="I11" s="11" t="str">
        <f t="array" ref="I11">IFERROR(INDEX($C$2:$C$13, MATCH(0, COUNTIF($I$1:I10, $C$2:$C$13), 0)), "")</f>
        <v/>
      </c>
      <c r="J11" s="11" t="str">
        <f t="array" ref="J11">IFERROR(INDEX($D$2:$D$13, MATCH(0, IF($F$2:$F$13="Active", COUNTIF($J$1:J10, $D$2:$D$13), 1), 0)), "")</f>
        <v/>
      </c>
      <c r="K11" s="12" t="str">
        <f t="array" ref="K11">IFERROR(INDEX(A$2:A$13, SMALL(IF((($C$2:$C$13="Enterprise")+($C$2:$C$13="Professional"))*($F$2:$F$13="Active")*($E$2:$E$13&gt;=850), ROW($A$2:$A$13)-ROW($A$2)+1), ROW(A10))), "")</f>
        <v/>
      </c>
      <c r="L11" s="11" t="str">
        <f t="array" ref="L11">IFERROR(INDEX($B$2:$B$13, MATCH(LARGE($H$2:$H$13, ROW(A10)), $H$2:$H$13, 0)), "")</f>
        <v>Mu Enterprises</v>
      </c>
      <c r="M11" s="10">
        <f t="array" ref="M11">IFERROR(LARGE($H$2:$H$13, ROW(A10)), "")</f>
        <v>0</v>
      </c>
      <c r="N11">
        <v>0</v>
      </c>
    </row>
    <row r="12" spans="1:15" x14ac:dyDescent="0.35">
      <c r="A12" s="1" t="s">
        <v>16</v>
      </c>
      <c r="B12" s="1" t="s">
        <v>17</v>
      </c>
      <c r="C12" s="1" t="s">
        <v>18</v>
      </c>
      <c r="D12" s="1" t="s">
        <v>19</v>
      </c>
      <c r="E12" s="1">
        <v>800</v>
      </c>
      <c r="F12" s="1" t="s">
        <v>20</v>
      </c>
      <c r="G12" s="1">
        <v>6</v>
      </c>
      <c r="H12" s="10">
        <f t="array" ref="H12">IF(F12="Active", E12 + (ROW()/100000), 0)</f>
        <v>0</v>
      </c>
      <c r="I12" s="11" t="str">
        <f t="array" ref="I12">IFERROR(INDEX($C$2:$C$13, MATCH(0, COUNTIF($I$1:I11, $C$2:$C$13), 0)), "")</f>
        <v/>
      </c>
      <c r="J12" s="11" t="str">
        <f t="array" ref="J12">IFERROR(INDEX($D$2:$D$13, MATCH(0, IF($F$2:$F$13="Active", COUNTIF($J$1:J11, $D$2:$D$13), 1), 0)), "")</f>
        <v/>
      </c>
      <c r="K12" s="12" t="str">
        <f>IFERROR(INDEX(A$2:A$13, SMALL(IF((($C$2:$C$13="Enterprise")+($C$2:$C$13="Professional"))*($F$2:$F$13="Active")*($E$2:$E$13&gt;=850), ROW($A$2:$A$13)-ROW($A$2)+1), ROW(A11))), "")</f>
        <v/>
      </c>
      <c r="L12" s="11" t="str">
        <f t="array" ref="L12">IFERROR(INDEX($B$2:$B$13, MATCH(LARGE($H$2:$H$13, ROW(A11)), $H$2:$H$13, 0)), "")</f>
        <v>Mu Enterprises</v>
      </c>
      <c r="M12" s="10">
        <f t="array" ref="M12">IFERROR(LARGE($H$2:$H$13, ROW(A11)), "")</f>
        <v>0</v>
      </c>
      <c r="N12">
        <v>0</v>
      </c>
    </row>
    <row r="13" spans="1:15" x14ac:dyDescent="0.35">
      <c r="A13" s="5" t="s">
        <v>31</v>
      </c>
      <c r="B13" s="5" t="s">
        <v>32</v>
      </c>
      <c r="C13" s="5" t="s">
        <v>14</v>
      </c>
      <c r="D13" s="5" t="s">
        <v>23</v>
      </c>
      <c r="E13" s="5">
        <v>120</v>
      </c>
      <c r="F13" s="5" t="s">
        <v>20</v>
      </c>
      <c r="G13" s="5">
        <v>6</v>
      </c>
      <c r="H13" s="10">
        <f t="array" ref="H13">IF(F13="Active", E13 + (ROW()/100000), 0)</f>
        <v>0</v>
      </c>
      <c r="I13" s="11" t="str">
        <f t="array" ref="I13">IFERROR(INDEX($C$2:$C$13, MATCH(0, COUNTIF($I$1:I12, $C$2:$C$13), 0)), "")</f>
        <v/>
      </c>
      <c r="J13" s="11"/>
      <c r="K13" s="12" t="str">
        <f t="array" ref="K13">IFERROR(INDEX(A$2:A$13, SMALL(IF((($C$2:$C$13="Enterprise")+($C$2:$C$13="Professional"))*($F$2:$F$13="Active")*($E$2:$E$13&gt;=850), ROW($A$2:$A$13)-ROW($A$2)+1), ROW(A12))), "")</f>
        <v/>
      </c>
      <c r="L13" s="11" t="str">
        <f t="array" ref="L13">IFERROR(INDEX($B$2:$B$13, MATCH(LARGE($H$2:$H$13, ROW(A12)), $H$2:$H$13, 0)), "")</f>
        <v>Mu Enterprises</v>
      </c>
      <c r="M13" s="10">
        <f t="array" ref="M13">IFERROR(LARGE($H$2:$H$13, ROW(A12)), "")</f>
        <v>0</v>
      </c>
      <c r="N13">
        <v>0</v>
      </c>
    </row>
    <row r="14" spans="1:15" x14ac:dyDescent="0.35">
      <c r="C14" s="6" t="s">
        <v>42</v>
      </c>
      <c r="H14" s="10"/>
      <c r="I14" s="11" t="str">
        <f t="array" ref="I14">IFERROR(INDEX($C$2:$C$13, MATCH(0, COUNTIF($I$1:I13, $C$2:$C$13), 0)), "")</f>
        <v/>
      </c>
      <c r="J14" s="11"/>
      <c r="K14" s="11"/>
      <c r="L14" s="11"/>
      <c r="M14" s="10"/>
      <c r="N14">
        <v>0</v>
      </c>
    </row>
    <row r="15" spans="1:15" x14ac:dyDescent="0.35">
      <c r="I15" t="str">
        <f t="array" ref="I15">IFERROR(INDEX($C$2:$C$13, MATCH(0, COUNTIF($I$1:I14, $C$2:$C$13), 0)), "")</f>
        <v/>
      </c>
    </row>
    <row r="16" spans="1:15" x14ac:dyDescent="0.35">
      <c r="I16" t="str">
        <f t="array" ref="I16">IFERROR(INDEX($C$2:$C$13, MATCH(0, COUNTIF($I$1:I15, $C$2:$C$13), 0)), "")</f>
        <v/>
      </c>
    </row>
    <row r="17" spans="9:9" x14ac:dyDescent="0.35">
      <c r="I17" t="str">
        <f t="array" ref="I17">IFERROR(INDEX($C$2:$C$13, MATCH(0, COUNTIF($I$1:I16, $C$2:$C$13), 0)), "")</f>
        <v/>
      </c>
    </row>
    <row r="18" spans="9:9" x14ac:dyDescent="0.35">
      <c r="I18" t="str">
        <f t="array" ref="I18">IFERROR(INDEX($C$2:$C$13, MATCH(0, COUNTIF($I$1:I17, $C$2:$C$13), 0)), "")</f>
        <v/>
      </c>
    </row>
    <row r="19" spans="9:9" x14ac:dyDescent="0.35">
      <c r="I19" t="str">
        <f t="array" ref="I19">IFERROR(INDEX($C$2:$C$13, MATCH(0, COUNTIF($I$1:I18, $C$2:$C$13), 0)), "")</f>
        <v/>
      </c>
    </row>
    <row r="20" spans="9:9" x14ac:dyDescent="0.35">
      <c r="I20" t="str">
        <f t="array" ref="I20">IFERROR(INDEX($C$2:$C$13, MATCH(0, COUNTIF($I$1:I19, $C$2:$C$13), 0)), "")</f>
        <v/>
      </c>
    </row>
  </sheetData>
  <sortState xmlns:xlrd2="http://schemas.microsoft.com/office/spreadsheetml/2017/richdata2" ref="A2:G13">
    <sortCondition descending="1" ref="G2:G13"/>
    <sortCondition descending="1" ref="E2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Software Subscription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Guntur</dc:creator>
  <cp:lastModifiedBy>Pavani Guntur</cp:lastModifiedBy>
  <dcterms:created xsi:type="dcterms:W3CDTF">2026-10-12T07:12:09Z</dcterms:created>
  <dcterms:modified xsi:type="dcterms:W3CDTF">2026-10-12T18:47:42Z</dcterms:modified>
</cp:coreProperties>
</file>