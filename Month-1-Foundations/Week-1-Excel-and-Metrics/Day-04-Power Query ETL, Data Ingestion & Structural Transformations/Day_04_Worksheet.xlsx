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VANI\0_90 Day Data Analyst\"/>
    </mc:Choice>
  </mc:AlternateContent>
  <xr:revisionPtr revIDLastSave="0" documentId="13_ncr:1_{21063824-6C0C-4758-91AC-7979187F5E9C}" xr6:coauthVersionLast="47" xr6:coauthVersionMax="47" xr10:uidLastSave="{00000000-0000-0000-0000-000000000000}"/>
  <bookViews>
    <workbookView xWindow="-110" yWindow="-110" windowWidth="19420" windowHeight="10300" xr2:uid="{1C66B9CA-55FD-4F74-9596-3B335FE0ED85}"/>
  </bookViews>
  <sheets>
    <sheet name="raw_regional_sales_q3" sheetId="2" r:id="rId1"/>
    <sheet name="Sheet1" sheetId="1" r:id="rId2"/>
  </sheets>
  <definedNames>
    <definedName name="ExternalData_1" localSheetId="0" hidden="1">'raw_regional_sales_q3'!$A$1:$J$16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2" i="2"/>
  <c r="N8" i="2"/>
  <c r="N9" i="2"/>
  <c r="N16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K2" i="2"/>
  <c r="K3" i="2"/>
  <c r="N3" i="2" s="1"/>
  <c r="K4" i="2"/>
  <c r="N4" i="2" s="1"/>
  <c r="K5" i="2"/>
  <c r="N5" i="2" s="1"/>
  <c r="K6" i="2"/>
  <c r="N6" i="2" s="1"/>
  <c r="K7" i="2"/>
  <c r="N7" i="2" s="1"/>
  <c r="K8" i="2"/>
  <c r="K9" i="2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166BDD-63E1-458A-B651-59B1C0FF0757}" keepAlive="1" name="Query - raw_regional_sales_q3" description="Connection to the 'raw_regional_sales_q3' query in the workbook." type="5" refreshedVersion="8" background="1" saveData="1">
    <dbPr connection="Provider=Microsoft.Mashup.OleDb.1;Data Source=$Workbook$;Location=raw_regional_sales_q3;Extended Properties=&quot;&quot;" command="SELECT * FROM [raw_regional_sales_q3]"/>
  </connection>
</connections>
</file>

<file path=xl/sharedStrings.xml><?xml version="1.0" encoding="utf-8"?>
<sst xmlns="http://schemas.openxmlformats.org/spreadsheetml/2006/main" count="124" uniqueCount="47">
  <si>
    <t>Store_ID</t>
  </si>
  <si>
    <t>Region_Manager</t>
  </si>
  <si>
    <t>Month_Year</t>
  </si>
  <si>
    <t>Sales_2024</t>
  </si>
  <si>
    <t>Sales_2025</t>
  </si>
  <si>
    <t>Sales_2026</t>
  </si>
  <si>
    <t>Status_Code</t>
  </si>
  <si>
    <t>STR-501</t>
  </si>
  <si>
    <t>ACT_01</t>
  </si>
  <si>
    <t>STR-502</t>
  </si>
  <si>
    <t>STR-503</t>
  </si>
  <si>
    <t>PEND_02</t>
  </si>
  <si>
    <t>STR-504</t>
  </si>
  <si>
    <t>STR-505</t>
  </si>
  <si>
    <t>CAN_03</t>
  </si>
  <si>
    <t>Region</t>
  </si>
  <si>
    <t>Category_Code</t>
  </si>
  <si>
    <t>Category_Name</t>
  </si>
  <si>
    <t>Year</t>
  </si>
  <si>
    <t>Revenue_Amount</t>
  </si>
  <si>
    <t>Operational_Status</t>
  </si>
  <si>
    <t>JOHN DOE</t>
  </si>
  <si>
    <t xml:space="preserve">North  </t>
  </si>
  <si>
    <t>ELE</t>
  </si>
  <si>
    <t>Laptops</t>
  </si>
  <si>
    <t>Active</t>
  </si>
  <si>
    <t>MARIA GARCIA</t>
  </si>
  <si>
    <t>SOUTH</t>
  </si>
  <si>
    <t>CLO</t>
  </si>
  <si>
    <t>Apparel</t>
  </si>
  <si>
    <t>DAVID LEE</t>
  </si>
  <si>
    <t xml:space="preserve">East  </t>
  </si>
  <si>
    <t>HOME</t>
  </si>
  <si>
    <t>Furniture</t>
  </si>
  <si>
    <t>Pending Audit</t>
  </si>
  <si>
    <t>SARAH PARKER</t>
  </si>
  <si>
    <t>West</t>
  </si>
  <si>
    <t>Tablets</t>
  </si>
  <si>
    <t>BOB JOHNSON</t>
  </si>
  <si>
    <t>Footwear</t>
  </si>
  <si>
    <t>Inactive/Cancelled</t>
  </si>
  <si>
    <t>YoY% (2025 vs 2026)</t>
  </si>
  <si>
    <t>CAGR</t>
  </si>
  <si>
    <t>{YoY Growth \%} ={{Sales}_{2026} - {Sales}_{2025}}/{Sales}_{2025}</t>
  </si>
  <si>
    <t>{CAGR} = SQRT(Sales_2026/Sales_2025)-1</t>
  </si>
  <si>
    <r>
      <t>Year-over-Year (YoY) Growth %</t>
    </r>
    <r>
      <rPr>
        <sz val="11"/>
        <color theme="1"/>
        <rFont val="Calibri"/>
        <family val="2"/>
        <scheme val="minor"/>
      </rPr>
      <t xml:space="preserve"> for </t>
    </r>
    <r>
      <rPr>
        <sz val="10"/>
        <color theme="1"/>
        <rFont val="Arial Unicode MS"/>
      </rPr>
      <t>2025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</rPr>
      <t>2026</t>
    </r>
    <r>
      <rPr>
        <sz val="11"/>
        <color theme="1"/>
        <rFont val="Calibri"/>
        <family val="2"/>
        <scheme val="minor"/>
      </rPr>
      <t xml:space="preserve"> across active stores:</t>
    </r>
  </si>
  <si>
    <r>
      <t>Compound Annual Growth Rate (CAGR)</t>
    </r>
    <r>
      <rPr>
        <sz val="11"/>
        <color theme="1"/>
        <rFont val="Calibri"/>
        <family val="2"/>
        <scheme val="minor"/>
      </rPr>
      <t xml:space="preserve"> for 2024 to 2026: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</si>
</sst>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10" fontId="0" fillId="0" borderId="0" xfId="0" applyNumberFormat="1"/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6E1EB4-08B3-4DDA-9A52-3639B5EA3E1F}" autoFormatId="16" applyNumberFormats="0" applyBorderFormats="0" applyFontFormats="0" applyPatternFormats="0" applyAlignmentFormats="0" applyWidthHeightFormats="0">
  <queryTableRefresh nextId="24" unboundColumnsRight="5">
    <queryTableFields count="15">
      <queryTableField id="1" name="Store_ID" tableColumnId="1"/>
      <queryTableField id="2" name="Region_Manager" tableColumnId="2"/>
      <queryTableField id="9" name="Region" tableColumnId="9"/>
      <queryTableField id="3" name="Month_Year" tableColumnId="3"/>
      <queryTableField id="10" name="Category_Code" tableColumnId="10"/>
      <queryTableField id="11" name="Category_Name" tableColumnId="11"/>
      <queryTableField id="8" name="Status_Code" tableColumnId="8"/>
      <queryTableField id="12" name="Year" tableColumnId="12"/>
      <queryTableField id="13" name="Revenue_Amount" tableColumnId="13"/>
      <queryTableField id="14" name="Operational_Status" tableColumnId="14"/>
      <queryTableField id="18" dataBound="0" tableColumnId="15"/>
      <queryTableField id="19" dataBound="0" tableColumnId="16"/>
      <queryTableField id="20" dataBound="0" tableColumnId="17"/>
      <queryTableField id="22" dataBound="0" tableColumnId="19"/>
      <queryTableField id="23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32552-C942-49B7-9377-EEE30F3750A1}" name="raw_regional_sales_q3" displayName="raw_regional_sales_q3" ref="A1:O16" tableType="queryTable" totalsRowShown="0">
  <autoFilter ref="A1:O16" xr:uid="{D1432552-C942-49B7-9377-EEE30F3750A1}"/>
  <tableColumns count="15">
    <tableColumn id="1" xr3:uid="{DFE4D451-F5FD-45EC-89CA-2F85F9CEC236}" uniqueName="1" name="Store_ID" queryTableFieldId="1" dataDxfId="11"/>
    <tableColumn id="2" xr3:uid="{25B9D40C-087D-4DFE-AAFA-B3316685A206}" uniqueName="2" name="Region_Manager" queryTableFieldId="2" dataDxfId="10"/>
    <tableColumn id="9" xr3:uid="{E91A935F-ECB4-406C-B8F0-B050A3927066}" uniqueName="9" name="Region" queryTableFieldId="9" dataDxfId="9"/>
    <tableColumn id="3" xr3:uid="{DF19FC81-BC4A-4463-A7EC-444413BCA04E}" uniqueName="3" name="Month_Year" queryTableFieldId="3" dataDxfId="8"/>
    <tableColumn id="10" xr3:uid="{DF21E68B-59AA-4611-AAFA-25F7B58A4289}" uniqueName="10" name="Category_Code" queryTableFieldId="10" dataDxfId="7"/>
    <tableColumn id="11" xr3:uid="{9988BB70-44E8-4990-B929-FAC41546969B}" uniqueName="11" name="Category_Name" queryTableFieldId="11" dataDxfId="6"/>
    <tableColumn id="8" xr3:uid="{746240E6-BA62-4C9F-80A4-84B40CA7217E}" uniqueName="8" name="Status_Code" queryTableFieldId="8" dataDxfId="5"/>
    <tableColumn id="12" xr3:uid="{65E1D862-40EF-4264-8616-399DC4A47AD1}" uniqueName="12" name="Year" queryTableFieldId="12"/>
    <tableColumn id="13" xr3:uid="{B68B8C46-6C24-4935-81C3-B0941B3C242E}" uniqueName="13" name="Revenue_Amount" queryTableFieldId="13"/>
    <tableColumn id="14" xr3:uid="{158534E1-04A6-4D24-8C68-8DCF6733D2EC}" uniqueName="14" name="Operational_Status" queryTableFieldId="14"/>
    <tableColumn id="15" xr3:uid="{169224D6-3FF9-47A3-912A-B9A3BDF8758B}" uniqueName="15" name="Sales_2026" queryTableFieldId="18" dataDxfId="4">
      <calculatedColumnFormula>SUMIF(raw_regional_sales_q3[Year],2026,raw_regional_sales_q3[Revenue_Amount])</calculatedColumnFormula>
    </tableColumn>
    <tableColumn id="16" xr3:uid="{442FADAB-9AD9-465E-B09B-9D4082053904}" uniqueName="16" name="Sales_2025" queryTableFieldId="19" dataDxfId="3">
      <calculatedColumnFormula>SUMIF(raw_regional_sales_q3[Year],2025,raw_regional_sales_q3[Revenue_Amount])</calculatedColumnFormula>
    </tableColumn>
    <tableColumn id="17" xr3:uid="{1356357E-2950-4742-BDAC-56B70CA1D3A9}" uniqueName="17" name="Sales_2024" queryTableFieldId="20" dataDxfId="2">
      <calculatedColumnFormula>SUMIF(raw_regional_sales_q3[Year],2024,raw_regional_sales_q3[Revenue_Amount])</calculatedColumnFormula>
    </tableColumn>
    <tableColumn id="19" xr3:uid="{39616208-E277-4C48-960F-A8B9C34AF46A}" uniqueName="19" name="YoY% (2025 vs 2026)" queryTableFieldId="22" dataDxfId="1">
      <calculatedColumnFormula>(raw_regional_sales_q3[[#This Row],[Sales_2026]]-raw_regional_sales_q3[[#This Row],[Sales_2025]])/raw_regional_sales_q3[[#This Row],[Sales_2025]]</calculatedColumnFormula>
    </tableColumn>
    <tableColumn id="20" xr3:uid="{3B0CA393-B86D-47E9-8C5B-9E0212A97D02}" uniqueName="20" name="CAGR" queryTableFieldId="23" dataDxfId="0">
      <calculatedColumnFormula>SQRT(raw_regional_sales_q3[[#This Row],[Sales_2026]]/raw_regional_sales_q3[[#This Row],[Sales_2024]])-1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9976-7615-4388-8BAD-F662A4525597}">
  <dimension ref="A1:O22"/>
  <sheetViews>
    <sheetView tabSelected="1" workbookViewId="0">
      <selection activeCell="P22" sqref="P22"/>
    </sheetView>
  </sheetViews>
  <sheetFormatPr defaultRowHeight="14.5"/>
  <cols>
    <col min="1" max="1" width="10.36328125" bestFit="1" customWidth="1"/>
    <col min="2" max="2" width="17.26953125" bestFit="1" customWidth="1"/>
    <col min="3" max="3" width="8.7265625" bestFit="1" customWidth="1"/>
    <col min="4" max="4" width="13.54296875" bestFit="1" customWidth="1"/>
    <col min="5" max="5" width="15.90625" bestFit="1" customWidth="1"/>
    <col min="6" max="6" width="16.54296875" bestFit="1" customWidth="1"/>
    <col min="7" max="7" width="13.6328125" bestFit="1" customWidth="1"/>
    <col min="8" max="8" width="6.81640625" bestFit="1" customWidth="1"/>
    <col min="9" max="9" width="18.1796875" bestFit="1" customWidth="1"/>
    <col min="10" max="10" width="19.54296875" bestFit="1" customWidth="1"/>
    <col min="11" max="13" width="12.26953125" bestFit="1" customWidth="1"/>
    <col min="14" max="14" width="15.1796875" customWidth="1"/>
  </cols>
  <sheetData>
    <row r="1" spans="1:15">
      <c r="A1" t="s">
        <v>0</v>
      </c>
      <c r="B1" t="s">
        <v>1</v>
      </c>
      <c r="C1" t="s">
        <v>15</v>
      </c>
      <c r="D1" t="s">
        <v>2</v>
      </c>
      <c r="E1" t="s">
        <v>16</v>
      </c>
      <c r="F1" t="s">
        <v>17</v>
      </c>
      <c r="G1" t="s">
        <v>6</v>
      </c>
      <c r="H1" t="s">
        <v>18</v>
      </c>
      <c r="I1" t="s">
        <v>19</v>
      </c>
      <c r="J1" t="s">
        <v>20</v>
      </c>
      <c r="K1" t="s">
        <v>5</v>
      </c>
      <c r="L1" t="s">
        <v>4</v>
      </c>
      <c r="M1" t="s">
        <v>3</v>
      </c>
      <c r="N1" s="3" t="s">
        <v>41</v>
      </c>
      <c r="O1" s="4" t="s">
        <v>42</v>
      </c>
    </row>
    <row r="2" spans="1:15">
      <c r="A2" s="1" t="s">
        <v>7</v>
      </c>
      <c r="B2" s="1" t="s">
        <v>21</v>
      </c>
      <c r="C2" s="1" t="s">
        <v>22</v>
      </c>
      <c r="D2" s="2">
        <v>46204</v>
      </c>
      <c r="E2" s="1" t="s">
        <v>23</v>
      </c>
      <c r="F2" s="1" t="s">
        <v>24</v>
      </c>
      <c r="G2" s="1" t="s">
        <v>8</v>
      </c>
      <c r="H2">
        <v>2024</v>
      </c>
      <c r="I2">
        <v>15000</v>
      </c>
      <c r="J2" t="s">
        <v>25</v>
      </c>
      <c r="K2">
        <f>SUMIF(raw_regional_sales_q3[Year],2026,raw_regional_sales_q3[Revenue_Amount])</f>
        <v>56500</v>
      </c>
      <c r="L2">
        <f>SUMIF(raw_regional_sales_q3[Year],2025,raw_regional_sales_q3[Revenue_Amount])</f>
        <v>39600</v>
      </c>
      <c r="M2">
        <f>SUMIF(raw_regional_sales_q3[Year],2024,raw_regional_sales_q3[Revenue_Amount])</f>
        <v>46200</v>
      </c>
      <c r="N2" s="4">
        <f>(raw_regional_sales_q3[[#This Row],[Sales_2026]]-raw_regional_sales_q3[[#This Row],[Sales_2025]])/raw_regional_sales_q3[[#This Row],[Sales_2025]]</f>
        <v>0.42676767676767674</v>
      </c>
      <c r="O2" s="4">
        <f>SQRT(raw_regional_sales_q3[[#This Row],[Sales_2026]]/raw_regional_sales_q3[[#This Row],[Sales_2024]])-1</f>
        <v>0.10586785962144818</v>
      </c>
    </row>
    <row r="3" spans="1:15">
      <c r="A3" s="1" t="s">
        <v>7</v>
      </c>
      <c r="B3" s="1" t="s">
        <v>21</v>
      </c>
      <c r="C3" s="1" t="s">
        <v>22</v>
      </c>
      <c r="D3" s="2">
        <v>46204</v>
      </c>
      <c r="E3" s="1" t="s">
        <v>23</v>
      </c>
      <c r="F3" s="1" t="s">
        <v>24</v>
      </c>
      <c r="G3" s="1" t="s">
        <v>8</v>
      </c>
      <c r="H3">
        <v>2025</v>
      </c>
      <c r="I3">
        <v>18500</v>
      </c>
      <c r="J3" t="s">
        <v>25</v>
      </c>
      <c r="K3">
        <f>SUMIF(raw_regional_sales_q3[Year],2026,raw_regional_sales_q3[Revenue_Amount])</f>
        <v>56500</v>
      </c>
      <c r="L3">
        <f>SUMIF(raw_regional_sales_q3[Year],2025,raw_regional_sales_q3[Revenue_Amount])</f>
        <v>39600</v>
      </c>
      <c r="M3">
        <f>SUMIF(raw_regional_sales_q3[Year],2024,raw_regional_sales_q3[Revenue_Amount])</f>
        <v>46200</v>
      </c>
      <c r="N3" s="4">
        <f>(raw_regional_sales_q3[[#This Row],[Sales_2026]]-raw_regional_sales_q3[[#This Row],[Sales_2025]])/raw_regional_sales_q3[[#This Row],[Sales_2025]]</f>
        <v>0.42676767676767674</v>
      </c>
      <c r="O3" s="4">
        <f>SQRT(raw_regional_sales_q3[[#This Row],[Sales_2026]]/raw_regional_sales_q3[[#This Row],[Sales_2024]])-1</f>
        <v>0.10586785962144818</v>
      </c>
    </row>
    <row r="4" spans="1:15">
      <c r="A4" s="1" t="s">
        <v>7</v>
      </c>
      <c r="B4" s="1" t="s">
        <v>21</v>
      </c>
      <c r="C4" s="1" t="s">
        <v>22</v>
      </c>
      <c r="D4" s="2">
        <v>46204</v>
      </c>
      <c r="E4" s="1" t="s">
        <v>23</v>
      </c>
      <c r="F4" s="1" t="s">
        <v>24</v>
      </c>
      <c r="G4" s="1" t="s">
        <v>8</v>
      </c>
      <c r="H4">
        <v>2026</v>
      </c>
      <c r="I4">
        <v>22000</v>
      </c>
      <c r="J4" t="s">
        <v>25</v>
      </c>
      <c r="K4">
        <f>SUMIF(raw_regional_sales_q3[Year],2026,raw_regional_sales_q3[Revenue_Amount])</f>
        <v>56500</v>
      </c>
      <c r="L4">
        <f>SUMIF(raw_regional_sales_q3[Year],2025,raw_regional_sales_q3[Revenue_Amount])</f>
        <v>39600</v>
      </c>
      <c r="M4">
        <f>SUMIF(raw_regional_sales_q3[Year],2024,raw_regional_sales_q3[Revenue_Amount])</f>
        <v>46200</v>
      </c>
      <c r="N4" s="4">
        <f>(raw_regional_sales_q3[[#This Row],[Sales_2026]]-raw_regional_sales_q3[[#This Row],[Sales_2025]])/raw_regional_sales_q3[[#This Row],[Sales_2025]]</f>
        <v>0.42676767676767674</v>
      </c>
      <c r="O4" s="4">
        <f>SQRT(raw_regional_sales_q3[[#This Row],[Sales_2026]]/raw_regional_sales_q3[[#This Row],[Sales_2024]])-1</f>
        <v>0.10586785962144818</v>
      </c>
    </row>
    <row r="5" spans="1:15">
      <c r="A5" s="1" t="s">
        <v>9</v>
      </c>
      <c r="B5" s="1" t="s">
        <v>26</v>
      </c>
      <c r="C5" s="1" t="s">
        <v>27</v>
      </c>
      <c r="D5" s="2">
        <v>46204</v>
      </c>
      <c r="E5" s="1" t="s">
        <v>28</v>
      </c>
      <c r="F5" s="1" t="s">
        <v>29</v>
      </c>
      <c r="G5" s="1" t="s">
        <v>8</v>
      </c>
      <c r="H5">
        <v>2024</v>
      </c>
      <c r="I5">
        <v>8200</v>
      </c>
      <c r="J5" t="s">
        <v>25</v>
      </c>
      <c r="K5">
        <f>SUMIF(raw_regional_sales_q3[Year],2026,raw_regional_sales_q3[Revenue_Amount])</f>
        <v>56500</v>
      </c>
      <c r="L5">
        <f>SUMIF(raw_regional_sales_q3[Year],2025,raw_regional_sales_q3[Revenue_Amount])</f>
        <v>39600</v>
      </c>
      <c r="M5">
        <f>SUMIF(raw_regional_sales_q3[Year],2024,raw_regional_sales_q3[Revenue_Amount])</f>
        <v>46200</v>
      </c>
      <c r="N5" s="4">
        <f>(raw_regional_sales_q3[[#This Row],[Sales_2026]]-raw_regional_sales_q3[[#This Row],[Sales_2025]])/raw_regional_sales_q3[[#This Row],[Sales_2025]]</f>
        <v>0.42676767676767674</v>
      </c>
      <c r="O5" s="4">
        <f>SQRT(raw_regional_sales_q3[[#This Row],[Sales_2026]]/raw_regional_sales_q3[[#This Row],[Sales_2024]])-1</f>
        <v>0.10586785962144818</v>
      </c>
    </row>
    <row r="6" spans="1:15">
      <c r="A6" s="1" t="s">
        <v>9</v>
      </c>
      <c r="B6" s="1" t="s">
        <v>26</v>
      </c>
      <c r="C6" s="1" t="s">
        <v>27</v>
      </c>
      <c r="D6" s="2">
        <v>46204</v>
      </c>
      <c r="E6" s="1" t="s">
        <v>28</v>
      </c>
      <c r="F6" s="1" t="s">
        <v>29</v>
      </c>
      <c r="G6" s="1" t="s">
        <v>8</v>
      </c>
      <c r="H6">
        <v>2025</v>
      </c>
      <c r="I6">
        <v>9100</v>
      </c>
      <c r="J6" t="s">
        <v>25</v>
      </c>
      <c r="K6">
        <f>SUMIF(raw_regional_sales_q3[Year],2026,raw_regional_sales_q3[Revenue_Amount])</f>
        <v>56500</v>
      </c>
      <c r="L6">
        <f>SUMIF(raw_regional_sales_q3[Year],2025,raw_regional_sales_q3[Revenue_Amount])</f>
        <v>39600</v>
      </c>
      <c r="M6">
        <f>SUMIF(raw_regional_sales_q3[Year],2024,raw_regional_sales_q3[Revenue_Amount])</f>
        <v>46200</v>
      </c>
      <c r="N6" s="4">
        <f>(raw_regional_sales_q3[[#This Row],[Sales_2026]]-raw_regional_sales_q3[[#This Row],[Sales_2025]])/raw_regional_sales_q3[[#This Row],[Sales_2025]]</f>
        <v>0.42676767676767674</v>
      </c>
      <c r="O6" s="4">
        <f>SQRT(raw_regional_sales_q3[[#This Row],[Sales_2026]]/raw_regional_sales_q3[[#This Row],[Sales_2024]])-1</f>
        <v>0.10586785962144818</v>
      </c>
    </row>
    <row r="7" spans="1:15">
      <c r="A7" s="1" t="s">
        <v>9</v>
      </c>
      <c r="B7" s="1" t="s">
        <v>26</v>
      </c>
      <c r="C7" s="1" t="s">
        <v>27</v>
      </c>
      <c r="D7" s="2">
        <v>46204</v>
      </c>
      <c r="E7" s="1" t="s">
        <v>28</v>
      </c>
      <c r="F7" s="1" t="s">
        <v>29</v>
      </c>
      <c r="G7" s="1" t="s">
        <v>8</v>
      </c>
      <c r="H7">
        <v>2026</v>
      </c>
      <c r="I7">
        <v>11500</v>
      </c>
      <c r="J7" t="s">
        <v>25</v>
      </c>
      <c r="K7">
        <f>SUMIF(raw_regional_sales_q3[Year],2026,raw_regional_sales_q3[Revenue_Amount])</f>
        <v>56500</v>
      </c>
      <c r="L7">
        <f>SUMIF(raw_regional_sales_q3[Year],2025,raw_regional_sales_q3[Revenue_Amount])</f>
        <v>39600</v>
      </c>
      <c r="M7">
        <f>SUMIF(raw_regional_sales_q3[Year],2024,raw_regional_sales_q3[Revenue_Amount])</f>
        <v>46200</v>
      </c>
      <c r="N7" s="4">
        <f>(raw_regional_sales_q3[[#This Row],[Sales_2026]]-raw_regional_sales_q3[[#This Row],[Sales_2025]])/raw_regional_sales_q3[[#This Row],[Sales_2025]]</f>
        <v>0.42676767676767674</v>
      </c>
      <c r="O7" s="4">
        <f>SQRT(raw_regional_sales_q3[[#This Row],[Sales_2026]]/raw_regional_sales_q3[[#This Row],[Sales_2024]])-1</f>
        <v>0.10586785962144818</v>
      </c>
    </row>
    <row r="8" spans="1:15">
      <c r="A8" s="1" t="s">
        <v>10</v>
      </c>
      <c r="B8" s="1" t="s">
        <v>30</v>
      </c>
      <c r="C8" s="1" t="s">
        <v>31</v>
      </c>
      <c r="D8" s="2">
        <v>46235</v>
      </c>
      <c r="E8" s="1" t="s">
        <v>32</v>
      </c>
      <c r="F8" s="1" t="s">
        <v>33</v>
      </c>
      <c r="G8" s="1" t="s">
        <v>11</v>
      </c>
      <c r="H8">
        <v>2024</v>
      </c>
      <c r="I8">
        <v>12400</v>
      </c>
      <c r="J8" t="s">
        <v>34</v>
      </c>
      <c r="K8">
        <f>SUMIF(raw_regional_sales_q3[Year],2026,raw_regional_sales_q3[Revenue_Amount])</f>
        <v>56500</v>
      </c>
      <c r="L8">
        <f>SUMIF(raw_regional_sales_q3[Year],2025,raw_regional_sales_q3[Revenue_Amount])</f>
        <v>39600</v>
      </c>
      <c r="M8">
        <f>SUMIF(raw_regional_sales_q3[Year],2024,raw_regional_sales_q3[Revenue_Amount])</f>
        <v>46200</v>
      </c>
      <c r="N8" s="4">
        <f>(raw_regional_sales_q3[[#This Row],[Sales_2026]]-raw_regional_sales_q3[[#This Row],[Sales_2025]])/raw_regional_sales_q3[[#This Row],[Sales_2025]]</f>
        <v>0.42676767676767674</v>
      </c>
      <c r="O8" s="4">
        <f>SQRT(raw_regional_sales_q3[[#This Row],[Sales_2026]]/raw_regional_sales_q3[[#This Row],[Sales_2024]])-1</f>
        <v>0.10586785962144818</v>
      </c>
    </row>
    <row r="9" spans="1:15">
      <c r="A9" s="1" t="s">
        <v>10</v>
      </c>
      <c r="B9" s="1" t="s">
        <v>30</v>
      </c>
      <c r="C9" s="1" t="s">
        <v>31</v>
      </c>
      <c r="D9" s="2">
        <v>46235</v>
      </c>
      <c r="E9" s="1" t="s">
        <v>32</v>
      </c>
      <c r="F9" s="1" t="s">
        <v>33</v>
      </c>
      <c r="G9" s="1" t="s">
        <v>11</v>
      </c>
      <c r="H9">
        <v>2025</v>
      </c>
      <c r="I9">
        <v>0</v>
      </c>
      <c r="J9" t="s">
        <v>34</v>
      </c>
      <c r="K9">
        <f>SUMIF(raw_regional_sales_q3[Year],2026,raw_regional_sales_q3[Revenue_Amount])</f>
        <v>56500</v>
      </c>
      <c r="L9">
        <f>SUMIF(raw_regional_sales_q3[Year],2025,raw_regional_sales_q3[Revenue_Amount])</f>
        <v>39600</v>
      </c>
      <c r="M9">
        <f>SUMIF(raw_regional_sales_q3[Year],2024,raw_regional_sales_q3[Revenue_Amount])</f>
        <v>46200</v>
      </c>
      <c r="N9" s="4">
        <f>(raw_regional_sales_q3[[#This Row],[Sales_2026]]-raw_regional_sales_q3[[#This Row],[Sales_2025]])/raw_regional_sales_q3[[#This Row],[Sales_2025]]</f>
        <v>0.42676767676767674</v>
      </c>
      <c r="O9" s="4">
        <f>SQRT(raw_regional_sales_q3[[#This Row],[Sales_2026]]/raw_regional_sales_q3[[#This Row],[Sales_2024]])-1</f>
        <v>0.10586785962144818</v>
      </c>
    </row>
    <row r="10" spans="1:15">
      <c r="A10" s="1" t="s">
        <v>10</v>
      </c>
      <c r="B10" s="1" t="s">
        <v>30</v>
      </c>
      <c r="C10" s="1" t="s">
        <v>31</v>
      </c>
      <c r="D10" s="2">
        <v>46235</v>
      </c>
      <c r="E10" s="1" t="s">
        <v>32</v>
      </c>
      <c r="F10" s="1" t="s">
        <v>33</v>
      </c>
      <c r="G10" s="1" t="s">
        <v>11</v>
      </c>
      <c r="H10">
        <v>2026</v>
      </c>
      <c r="I10">
        <v>14100</v>
      </c>
      <c r="J10" t="s">
        <v>34</v>
      </c>
      <c r="K10">
        <f>SUMIF(raw_regional_sales_q3[Year],2026,raw_regional_sales_q3[Revenue_Amount])</f>
        <v>56500</v>
      </c>
      <c r="L10">
        <f>SUMIF(raw_regional_sales_q3[Year],2025,raw_regional_sales_q3[Revenue_Amount])</f>
        <v>39600</v>
      </c>
      <c r="M10">
        <f>SUMIF(raw_regional_sales_q3[Year],2024,raw_regional_sales_q3[Revenue_Amount])</f>
        <v>46200</v>
      </c>
      <c r="N10" s="4">
        <f>(raw_regional_sales_q3[[#This Row],[Sales_2026]]-raw_regional_sales_q3[[#This Row],[Sales_2025]])/raw_regional_sales_q3[[#This Row],[Sales_2025]]</f>
        <v>0.42676767676767674</v>
      </c>
      <c r="O10" s="4">
        <f>SQRT(raw_regional_sales_q3[[#This Row],[Sales_2026]]/raw_regional_sales_q3[[#This Row],[Sales_2024]])-1</f>
        <v>0.10586785962144818</v>
      </c>
    </row>
    <row r="11" spans="1:15">
      <c r="A11" s="1" t="s">
        <v>12</v>
      </c>
      <c r="B11" s="1" t="s">
        <v>35</v>
      </c>
      <c r="C11" s="1" t="s">
        <v>36</v>
      </c>
      <c r="D11" s="2">
        <v>46235</v>
      </c>
      <c r="E11" s="1" t="s">
        <v>23</v>
      </c>
      <c r="F11" s="1" t="s">
        <v>37</v>
      </c>
      <c r="G11" s="1" t="s">
        <v>8</v>
      </c>
      <c r="H11">
        <v>2024</v>
      </c>
      <c r="I11">
        <v>6500</v>
      </c>
      <c r="J11" t="s">
        <v>25</v>
      </c>
      <c r="K11">
        <f>SUMIF(raw_regional_sales_q3[Year],2026,raw_regional_sales_q3[Revenue_Amount])</f>
        <v>56500</v>
      </c>
      <c r="L11">
        <f>SUMIF(raw_regional_sales_q3[Year],2025,raw_regional_sales_q3[Revenue_Amount])</f>
        <v>39600</v>
      </c>
      <c r="M11">
        <f>SUMIF(raw_regional_sales_q3[Year],2024,raw_regional_sales_q3[Revenue_Amount])</f>
        <v>46200</v>
      </c>
      <c r="N11" s="4">
        <f>(raw_regional_sales_q3[[#This Row],[Sales_2026]]-raw_regional_sales_q3[[#This Row],[Sales_2025]])/raw_regional_sales_q3[[#This Row],[Sales_2025]]</f>
        <v>0.42676767676767674</v>
      </c>
      <c r="O11" s="4">
        <f>SQRT(raw_regional_sales_q3[[#This Row],[Sales_2026]]/raw_regional_sales_q3[[#This Row],[Sales_2024]])-1</f>
        <v>0.10586785962144818</v>
      </c>
    </row>
    <row r="12" spans="1:15">
      <c r="A12" s="1" t="s">
        <v>12</v>
      </c>
      <c r="B12" s="1" t="s">
        <v>35</v>
      </c>
      <c r="C12" s="1" t="s">
        <v>36</v>
      </c>
      <c r="D12" s="2">
        <v>46235</v>
      </c>
      <c r="E12" s="1" t="s">
        <v>23</v>
      </c>
      <c r="F12" s="1" t="s">
        <v>37</v>
      </c>
      <c r="G12" s="1" t="s">
        <v>8</v>
      </c>
      <c r="H12">
        <v>2025</v>
      </c>
      <c r="I12">
        <v>7200</v>
      </c>
      <c r="J12" t="s">
        <v>25</v>
      </c>
      <c r="K12">
        <f>SUMIF(raw_regional_sales_q3[Year],2026,raw_regional_sales_q3[Revenue_Amount])</f>
        <v>56500</v>
      </c>
      <c r="L12">
        <f>SUMIF(raw_regional_sales_q3[Year],2025,raw_regional_sales_q3[Revenue_Amount])</f>
        <v>39600</v>
      </c>
      <c r="M12">
        <f>SUMIF(raw_regional_sales_q3[Year],2024,raw_regional_sales_q3[Revenue_Amount])</f>
        <v>46200</v>
      </c>
      <c r="N12" s="4">
        <f>(raw_regional_sales_q3[[#This Row],[Sales_2026]]-raw_regional_sales_q3[[#This Row],[Sales_2025]])/raw_regional_sales_q3[[#This Row],[Sales_2025]]</f>
        <v>0.42676767676767674</v>
      </c>
      <c r="O12" s="4">
        <f>SQRT(raw_regional_sales_q3[[#This Row],[Sales_2026]]/raw_regional_sales_q3[[#This Row],[Sales_2024]])-1</f>
        <v>0.10586785962144818</v>
      </c>
    </row>
    <row r="13" spans="1:15">
      <c r="A13" s="1" t="s">
        <v>12</v>
      </c>
      <c r="B13" s="1" t="s">
        <v>35</v>
      </c>
      <c r="C13" s="1" t="s">
        <v>36</v>
      </c>
      <c r="D13" s="2">
        <v>46235</v>
      </c>
      <c r="E13" s="1" t="s">
        <v>23</v>
      </c>
      <c r="F13" s="1" t="s">
        <v>37</v>
      </c>
      <c r="G13" s="1" t="s">
        <v>8</v>
      </c>
      <c r="H13">
        <v>2026</v>
      </c>
      <c r="I13">
        <v>8900</v>
      </c>
      <c r="J13" t="s">
        <v>25</v>
      </c>
      <c r="K13">
        <f>SUMIF(raw_regional_sales_q3[Year],2026,raw_regional_sales_q3[Revenue_Amount])</f>
        <v>56500</v>
      </c>
      <c r="L13">
        <f>SUMIF(raw_regional_sales_q3[Year],2025,raw_regional_sales_q3[Revenue_Amount])</f>
        <v>39600</v>
      </c>
      <c r="M13">
        <f>SUMIF(raw_regional_sales_q3[Year],2024,raw_regional_sales_q3[Revenue_Amount])</f>
        <v>46200</v>
      </c>
      <c r="N13" s="4">
        <f>(raw_regional_sales_q3[[#This Row],[Sales_2026]]-raw_regional_sales_q3[[#This Row],[Sales_2025]])/raw_regional_sales_q3[[#This Row],[Sales_2025]]</f>
        <v>0.42676767676767674</v>
      </c>
      <c r="O13" s="4">
        <f>SQRT(raw_regional_sales_q3[[#This Row],[Sales_2026]]/raw_regional_sales_q3[[#This Row],[Sales_2024]])-1</f>
        <v>0.10586785962144818</v>
      </c>
    </row>
    <row r="14" spans="1:15">
      <c r="A14" s="1" t="s">
        <v>13</v>
      </c>
      <c r="B14" s="1" t="s">
        <v>38</v>
      </c>
      <c r="C14" s="1" t="s">
        <v>22</v>
      </c>
      <c r="D14" s="2">
        <v>46266</v>
      </c>
      <c r="E14" s="1" t="s">
        <v>28</v>
      </c>
      <c r="F14" s="1" t="s">
        <v>39</v>
      </c>
      <c r="G14" s="1" t="s">
        <v>14</v>
      </c>
      <c r="H14">
        <v>2024</v>
      </c>
      <c r="I14">
        <v>4100</v>
      </c>
      <c r="J14" t="s">
        <v>40</v>
      </c>
      <c r="K14">
        <f>SUMIF(raw_regional_sales_q3[Year],2026,raw_regional_sales_q3[Revenue_Amount])</f>
        <v>56500</v>
      </c>
      <c r="L14">
        <f>SUMIF(raw_regional_sales_q3[Year],2025,raw_regional_sales_q3[Revenue_Amount])</f>
        <v>39600</v>
      </c>
      <c r="M14">
        <f>SUMIF(raw_regional_sales_q3[Year],2024,raw_regional_sales_q3[Revenue_Amount])</f>
        <v>46200</v>
      </c>
      <c r="N14" s="4">
        <f>(raw_regional_sales_q3[[#This Row],[Sales_2026]]-raw_regional_sales_q3[[#This Row],[Sales_2025]])/raw_regional_sales_q3[[#This Row],[Sales_2025]]</f>
        <v>0.42676767676767674</v>
      </c>
      <c r="O14" s="4">
        <f>SQRT(raw_regional_sales_q3[[#This Row],[Sales_2026]]/raw_regional_sales_q3[[#This Row],[Sales_2024]])-1</f>
        <v>0.10586785962144818</v>
      </c>
    </row>
    <row r="15" spans="1:15">
      <c r="A15" s="1" t="s">
        <v>13</v>
      </c>
      <c r="B15" s="1" t="s">
        <v>38</v>
      </c>
      <c r="C15" s="1" t="s">
        <v>22</v>
      </c>
      <c r="D15" s="2">
        <v>46266</v>
      </c>
      <c r="E15" s="1" t="s">
        <v>28</v>
      </c>
      <c r="F15" s="1" t="s">
        <v>39</v>
      </c>
      <c r="G15" s="1" t="s">
        <v>14</v>
      </c>
      <c r="H15">
        <v>2025</v>
      </c>
      <c r="I15">
        <v>4800</v>
      </c>
      <c r="J15" t="s">
        <v>40</v>
      </c>
      <c r="K15">
        <f>SUMIF(raw_regional_sales_q3[Year],2026,raw_regional_sales_q3[Revenue_Amount])</f>
        <v>56500</v>
      </c>
      <c r="L15">
        <f>SUMIF(raw_regional_sales_q3[Year],2025,raw_regional_sales_q3[Revenue_Amount])</f>
        <v>39600</v>
      </c>
      <c r="M15">
        <f>SUMIF(raw_regional_sales_q3[Year],2024,raw_regional_sales_q3[Revenue_Amount])</f>
        <v>46200</v>
      </c>
      <c r="N15" s="4">
        <f>(raw_regional_sales_q3[[#This Row],[Sales_2026]]-raw_regional_sales_q3[[#This Row],[Sales_2025]])/raw_regional_sales_q3[[#This Row],[Sales_2025]]</f>
        <v>0.42676767676767674</v>
      </c>
      <c r="O15" s="4">
        <f>SQRT(raw_regional_sales_q3[[#This Row],[Sales_2026]]/raw_regional_sales_q3[[#This Row],[Sales_2024]])-1</f>
        <v>0.10586785962144818</v>
      </c>
    </row>
    <row r="16" spans="1:15">
      <c r="A16" s="1" t="s">
        <v>13</v>
      </c>
      <c r="B16" s="1" t="s">
        <v>38</v>
      </c>
      <c r="C16" s="1" t="s">
        <v>22</v>
      </c>
      <c r="D16" s="2">
        <v>46266</v>
      </c>
      <c r="E16" s="1" t="s">
        <v>28</v>
      </c>
      <c r="F16" s="1" t="s">
        <v>39</v>
      </c>
      <c r="G16" s="1" t="s">
        <v>14</v>
      </c>
      <c r="H16">
        <v>2026</v>
      </c>
      <c r="I16">
        <v>0</v>
      </c>
      <c r="J16" t="s">
        <v>40</v>
      </c>
      <c r="K16">
        <f>SUMIF(raw_regional_sales_q3[Year],2026,raw_regional_sales_q3[Revenue_Amount])</f>
        <v>56500</v>
      </c>
      <c r="L16">
        <f>SUMIF(raw_regional_sales_q3[Year],2025,raw_regional_sales_q3[Revenue_Amount])</f>
        <v>39600</v>
      </c>
      <c r="M16">
        <f>SUMIF(raw_regional_sales_q3[Year],2024,raw_regional_sales_q3[Revenue_Amount])</f>
        <v>46200</v>
      </c>
      <c r="N16" s="4">
        <f>(raw_regional_sales_q3[[#This Row],[Sales_2026]]-raw_regional_sales_q3[[#This Row],[Sales_2025]])/raw_regional_sales_q3[[#This Row],[Sales_2025]]</f>
        <v>0.42676767676767674</v>
      </c>
      <c r="O16" s="4">
        <f>SQRT(raw_regional_sales_q3[[#This Row],[Sales_2026]]/raw_regional_sales_q3[[#This Row],[Sales_2024]])-1</f>
        <v>0.10586785962144818</v>
      </c>
    </row>
    <row r="19" spans="10:10">
      <c r="J19" s="6" t="s">
        <v>45</v>
      </c>
    </row>
    <row r="20" spans="10:10">
      <c r="J20" s="5" t="s">
        <v>43</v>
      </c>
    </row>
    <row r="21" spans="10:10">
      <c r="J21" s="6" t="s">
        <v>46</v>
      </c>
    </row>
    <row r="22" spans="10:10">
      <c r="J22" t="s">
        <v>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E80C-834D-4C08-A751-A5643DF95A07}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433250-FC46-42A3-9375-8277EE7046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raw_regional_sales_q3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Guntur</dc:creator>
  <cp:lastModifiedBy>Pavani Guntur</cp:lastModifiedBy>
  <dcterms:created xsi:type="dcterms:W3CDTF">2026-10-13T14:09:38Z</dcterms:created>
  <dcterms:modified xsi:type="dcterms:W3CDTF">2026-10-13T15:19:33Z</dcterms:modified>
</cp:coreProperties>
</file>